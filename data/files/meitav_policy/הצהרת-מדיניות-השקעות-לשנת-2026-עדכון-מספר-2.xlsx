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R:\Bakara\Gemel\עדכוני מערכות בקרה\קבצים לקראת השנה החדשה\2026\"/>
    </mc:Choice>
  </mc:AlternateContent>
  <xr:revisionPtr revIDLastSave="0" documentId="13_ncr:1_{65B2CC97-F895-4890-AB0C-81D21A7C192D}" xr6:coauthVersionLast="47" xr6:coauthVersionMax="47" xr10:uidLastSave="{00000000-0000-0000-0000-000000000000}"/>
  <bookViews>
    <workbookView xWindow="28680" yWindow="-120" windowWidth="29040" windowHeight="15840" activeTab="1" xr2:uid="{70CC6109-CFAC-444B-9D61-23E7F97C38CF}"/>
  </bookViews>
  <sheets>
    <sheet name="מדיניות השקעות אחראית" sheetId="2" r:id="rId1"/>
    <sheet name="הצהרות" sheetId="4" r:id="rId2"/>
    <sheet name="מהות שינויים"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74" i="4" l="1"/>
  <c r="C887" i="4"/>
  <c r="B887" i="4"/>
  <c r="B831" i="4"/>
  <c r="C831" i="4"/>
  <c r="B1230" i="4"/>
  <c r="C1230" i="4"/>
  <c r="C1219" i="4"/>
  <c r="B1219" i="4"/>
  <c r="B1208" i="4"/>
  <c r="C1208" i="4"/>
  <c r="C1198" i="4"/>
  <c r="B1198" i="4"/>
  <c r="B1187" i="4"/>
  <c r="C1187" i="4"/>
  <c r="C1176" i="4"/>
  <c r="B1176" i="4"/>
  <c r="B1164" i="4"/>
  <c r="C1164" i="4"/>
  <c r="C1151" i="4"/>
  <c r="B1151" i="4"/>
  <c r="B1136" i="4"/>
  <c r="C1136" i="4"/>
  <c r="C1125" i="4"/>
  <c r="B1125" i="4"/>
  <c r="B1113" i="4"/>
  <c r="C1113" i="4"/>
  <c r="C1097" i="4"/>
  <c r="B1097" i="4"/>
  <c r="B1085" i="4"/>
  <c r="C1085" i="4"/>
  <c r="C1073" i="4"/>
  <c r="B1073" i="4"/>
  <c r="B1061" i="4"/>
  <c r="C1061" i="4"/>
  <c r="C1049" i="4"/>
  <c r="B1049" i="4"/>
  <c r="B1037" i="4"/>
  <c r="C1037" i="4"/>
  <c r="C1025" i="4"/>
  <c r="B1025" i="4"/>
  <c r="B1012" i="4"/>
  <c r="C1012" i="4"/>
  <c r="C1000" i="4"/>
  <c r="B1000" i="4"/>
  <c r="B988" i="4"/>
  <c r="C988" i="4"/>
  <c r="C976" i="4"/>
  <c r="B976" i="4"/>
  <c r="B965" i="4"/>
  <c r="C965" i="4"/>
  <c r="C953" i="4"/>
  <c r="B953" i="4"/>
  <c r="B942" i="4"/>
  <c r="C942" i="4"/>
  <c r="C931" i="4"/>
  <c r="B931" i="4"/>
  <c r="B920" i="4"/>
  <c r="C920" i="4"/>
  <c r="C909" i="4"/>
  <c r="B909" i="4"/>
  <c r="B898" i="4"/>
  <c r="C898" i="4"/>
  <c r="C875" i="4"/>
  <c r="B875" i="4"/>
  <c r="B864" i="4"/>
  <c r="C864" i="4"/>
  <c r="C853" i="4"/>
  <c r="B853" i="4"/>
  <c r="B842" i="4"/>
  <c r="C842" i="4"/>
  <c r="C820" i="4"/>
  <c r="B820" i="4"/>
  <c r="B808" i="4"/>
  <c r="C808" i="4"/>
  <c r="C797" i="4"/>
  <c r="B797" i="4"/>
  <c r="B786" i="4"/>
  <c r="C786" i="4"/>
  <c r="C775" i="4"/>
  <c r="B775" i="4"/>
  <c r="B763" i="4"/>
  <c r="C763" i="4"/>
  <c r="C752" i="4"/>
  <c r="B752" i="4"/>
  <c r="B741" i="4"/>
  <c r="C741" i="4"/>
  <c r="C730" i="4"/>
  <c r="B730" i="4"/>
  <c r="B719" i="4"/>
  <c r="C719" i="4"/>
  <c r="C708" i="4"/>
  <c r="B708" i="4"/>
  <c r="B697" i="4"/>
  <c r="C697" i="4"/>
  <c r="C686" i="4"/>
  <c r="B686" i="4"/>
  <c r="B674" i="4"/>
  <c r="B663" i="4"/>
  <c r="C663" i="4"/>
  <c r="C652" i="4"/>
  <c r="B652" i="4"/>
  <c r="B641" i="4"/>
  <c r="C641" i="4"/>
  <c r="C631" i="4"/>
  <c r="B631" i="4"/>
  <c r="B621" i="4"/>
  <c r="C621" i="4"/>
  <c r="C610" i="4"/>
  <c r="B610" i="4"/>
  <c r="B598" i="4"/>
  <c r="C598" i="4"/>
  <c r="C586" i="4"/>
  <c r="B575" i="4"/>
  <c r="C575" i="4"/>
  <c r="C563" i="4"/>
  <c r="B563" i="4"/>
  <c r="B550" i="4"/>
  <c r="C550" i="4"/>
  <c r="C539" i="4"/>
  <c r="B539" i="4"/>
  <c r="B528" i="4"/>
  <c r="C528" i="4"/>
  <c r="C517" i="4"/>
  <c r="B517" i="4"/>
  <c r="B506" i="4"/>
  <c r="C506" i="4"/>
  <c r="C495" i="4"/>
  <c r="B495" i="4"/>
  <c r="B483" i="4"/>
  <c r="C483" i="4"/>
  <c r="C468" i="4"/>
  <c r="B468" i="4"/>
  <c r="B452" i="4"/>
  <c r="C452" i="4"/>
  <c r="C437" i="4"/>
  <c r="B437" i="4"/>
  <c r="B425" i="4"/>
  <c r="C425" i="4"/>
  <c r="C410" i="4"/>
  <c r="B410" i="4"/>
  <c r="B394" i="4"/>
  <c r="C394" i="4"/>
  <c r="C379" i="4"/>
  <c r="B379" i="4"/>
  <c r="B365" i="4"/>
  <c r="C365" i="4"/>
  <c r="C353" i="4"/>
  <c r="B353" i="4"/>
  <c r="B340" i="4"/>
  <c r="C340" i="4"/>
  <c r="C326" i="4"/>
  <c r="B326" i="4"/>
  <c r="B312" i="4"/>
  <c r="C312" i="4"/>
  <c r="C298" i="4"/>
  <c r="B298" i="4"/>
  <c r="B283" i="4"/>
  <c r="C283" i="4"/>
  <c r="C271" i="4"/>
  <c r="B271" i="4"/>
  <c r="B255" i="4"/>
  <c r="C255" i="4"/>
  <c r="C240" i="4"/>
  <c r="B240" i="4"/>
  <c r="B223" i="4"/>
  <c r="C223" i="4"/>
  <c r="C206" i="4"/>
  <c r="B206" i="4"/>
  <c r="B189" i="4"/>
  <c r="C189" i="4"/>
  <c r="C173" i="4"/>
  <c r="B173" i="4"/>
  <c r="B155" i="4"/>
  <c r="C155" i="4"/>
  <c r="C140" i="4"/>
  <c r="B140" i="4"/>
  <c r="B123" i="4"/>
  <c r="C123" i="4"/>
  <c r="C106" i="4"/>
  <c r="B106" i="4"/>
  <c r="B92" i="4"/>
  <c r="C92" i="4"/>
  <c r="C79" i="4"/>
  <c r="B79" i="4"/>
  <c r="B63" i="4"/>
  <c r="C63" i="4"/>
  <c r="C48" i="4"/>
  <c r="B48" i="4"/>
  <c r="C32" i="4"/>
  <c r="B32" i="4"/>
  <c r="C15" i="4"/>
  <c r="B15" i="4"/>
</calcChain>
</file>

<file path=xl/sharedStrings.xml><?xml version="1.0" encoding="utf-8"?>
<sst xmlns="http://schemas.openxmlformats.org/spreadsheetml/2006/main" count="3704" uniqueCount="408">
  <si>
    <t>הצהרת השקעות לשנת 2026</t>
  </si>
  <si>
    <t>קידוד מסלול</t>
  </si>
  <si>
    <t>512065202-00000000000880-880-000</t>
  </si>
  <si>
    <t>שם המסלול</t>
  </si>
  <si>
    <t>מיטב השתלמות כללי</t>
  </si>
  <si>
    <t>אפיק</t>
  </si>
  <si>
    <t>שיעור חשיפה עדכני</t>
  </si>
  <si>
    <t>שיעור חשיפה צפוי בשנת 2026</t>
  </si>
  <si>
    <t>טווח סטייה מותר</t>
  </si>
  <si>
    <t>גבולות שיעור החשיפה הצפויה</t>
  </si>
  <si>
    <t>מדדי ייחוס</t>
  </si>
  <si>
    <t>מניות</t>
  </si>
  <si>
    <t>+/-6%</t>
  </si>
  <si>
    <t>39%-51%</t>
  </si>
  <si>
    <t>מדד ת"א 125 - 30%
MSCI ACWI - 70%</t>
  </si>
  <si>
    <t>ממשלתי ישראל</t>
  </si>
  <si>
    <t>+/-5%</t>
  </si>
  <si>
    <t>12%-22%</t>
  </si>
  <si>
    <t>מדד ממשלתי כללי</t>
  </si>
  <si>
    <t>ממשלתי זר</t>
  </si>
  <si>
    <t>-1%-8%</t>
  </si>
  <si>
    <t>U.S. 10 Year Treasury</t>
  </si>
  <si>
    <t>מיועדות</t>
  </si>
  <si>
    <t>0%-5%</t>
  </si>
  <si>
    <t>קונצרני סחיר</t>
  </si>
  <si>
    <t>14%-26%</t>
  </si>
  <si>
    <t>מדד קונצרני כללי - 75%
25% - Barclays Global Aggregate Corporate Bond Index</t>
  </si>
  <si>
    <t>קונצרני לא סחיר</t>
  </si>
  <si>
    <t>1%-13%</t>
  </si>
  <si>
    <t xml:space="preserve">מדד קונצרני כללי </t>
  </si>
  <si>
    <t>הלוואות לעמיתים</t>
  </si>
  <si>
    <t>0%-9%</t>
  </si>
  <si>
    <t>ריבית בנק ישראל +1%</t>
  </si>
  <si>
    <t>קרנות השקעה</t>
  </si>
  <si>
    <t>MSCI AC</t>
  </si>
  <si>
    <t>תשתיות וקרנות תשתיות</t>
  </si>
  <si>
    <t>S&amp;P Global Infrastructure Index</t>
  </si>
  <si>
    <t>נדל"ן וקרנות נדל"ן</t>
  </si>
  <si>
    <t>MSCI World Real Estate Index</t>
  </si>
  <si>
    <t>אחר</t>
  </si>
  <si>
    <t>0%-10%</t>
  </si>
  <si>
    <t>מדד המק"מ</t>
  </si>
  <si>
    <t>סה"כ</t>
  </si>
  <si>
    <t>מטח</t>
  </si>
  <si>
    <t>13%-25%</t>
  </si>
  <si>
    <t>75% דולר 25% אירו</t>
  </si>
  <si>
    <t>מגבלת עמלת ניהול חיצוני לשנת 2026</t>
  </si>
  <si>
    <t>512065202-00000000007857-7978-000</t>
  </si>
  <si>
    <t>מיטב גמל להשקעה כללי</t>
  </si>
  <si>
    <t>13%-23%</t>
  </si>
  <si>
    <t>0%-8%</t>
  </si>
  <si>
    <t>512065202-00000000000885-886-000</t>
  </si>
  <si>
    <t>מיטב פיצויים מסלול כללי</t>
  </si>
  <si>
    <t>15%-25%</t>
  </si>
  <si>
    <t>21%-33%</t>
  </si>
  <si>
    <t>3%-15%</t>
  </si>
  <si>
    <t>0%-6%</t>
  </si>
  <si>
    <t>512065202-00000000011385-11386-000</t>
  </si>
  <si>
    <t>מיטב חסכון לכל ילד חוסכים המעדיפים סיכון בינוני</t>
  </si>
  <si>
    <t>17%-27%</t>
  </si>
  <si>
    <t>15%-27%</t>
  </si>
  <si>
    <t>2%-14%</t>
  </si>
  <si>
    <t>512065202-00000000000289-289-000</t>
  </si>
  <si>
    <t>קרן השתלמות לעובדי בנק ישראל</t>
  </si>
  <si>
    <t>0%-12%</t>
  </si>
  <si>
    <t>512065202-00000000009490-9491-000</t>
  </si>
  <si>
    <t>מיטב מרכזית להשתתפות בפנסיה תקציבית</t>
  </si>
  <si>
    <t>24%-36%</t>
  </si>
  <si>
    <t>32%-42%</t>
  </si>
  <si>
    <t>20%-32%</t>
  </si>
  <si>
    <t>512065202-00000000000120-923-000</t>
  </si>
  <si>
    <t>מיטב בטחון ללא הבטחת תשואה</t>
  </si>
  <si>
    <t>20%-30%</t>
  </si>
  <si>
    <t>23%-35%</t>
  </si>
  <si>
    <t>512065202-00000000000874-103-000</t>
  </si>
  <si>
    <t>מיטב גמל לבני 50 עד 60</t>
  </si>
  <si>
    <t>512065202-00000000000163-9967-000</t>
  </si>
  <si>
    <t>מיטב פנסיה מקיפה לבני 50 עד 60</t>
  </si>
  <si>
    <t>23%-33%</t>
  </si>
  <si>
    <t>5.1% צמוד</t>
  </si>
  <si>
    <t>8%-20%</t>
  </si>
  <si>
    <t>512065202-00000000000660-9972-000</t>
  </si>
  <si>
    <t>מיטב פנסיה כללית לבני 50 עד 60</t>
  </si>
  <si>
    <t>16%-28%</t>
  </si>
  <si>
    <t>512065202-00000000000163-2155-000</t>
  </si>
  <si>
    <t>מיטב פנסיה מקיפה לבני 50 ומטה</t>
  </si>
  <si>
    <t>48%-60%</t>
  </si>
  <si>
    <t>-1%-7%</t>
  </si>
  <si>
    <t>0%-11%</t>
  </si>
  <si>
    <t>0%-7%</t>
  </si>
  <si>
    <t>512065202-00000000000874-7215-000</t>
  </si>
  <si>
    <t>מיטב גמל לבני 50 ומטה</t>
  </si>
  <si>
    <t>512065202-00000000000660-2158-000</t>
  </si>
  <si>
    <t>מיטב פנסיה כללית לבני 50 ומטה</t>
  </si>
  <si>
    <t>512065202-00000000000874-551-000</t>
  </si>
  <si>
    <t>מיטב גמל לבני 60 ומעלה</t>
  </si>
  <si>
    <t>19%-31%</t>
  </si>
  <si>
    <t>25%-35%</t>
  </si>
  <si>
    <t>18%-30%</t>
  </si>
  <si>
    <t>512065202-00000000000163-9968-000</t>
  </si>
  <si>
    <t>מיטב פנסיה מקיפה לבני 60 ומעלה</t>
  </si>
  <si>
    <t>5%-15%</t>
  </si>
  <si>
    <t>512065202-00000000000660-9973-000</t>
  </si>
  <si>
    <t>מיטב פנסיה כללית לבני 60 ומעלה</t>
  </si>
  <si>
    <t>27%-37%</t>
  </si>
  <si>
    <t>22%-34%</t>
  </si>
  <si>
    <t>512065202-00000000011385-11385-000</t>
  </si>
  <si>
    <t>מיטב חסכון לכל ילד חוסכים המעדיפים סיכון מועט</t>
  </si>
  <si>
    <t>6%-18%</t>
  </si>
  <si>
    <t>512065202-00000000000885-1276-000</t>
  </si>
  <si>
    <t>מיטב פיצויים סלע</t>
  </si>
  <si>
    <t>43%-53%</t>
  </si>
  <si>
    <t>5%-17%</t>
  </si>
  <si>
    <t>512065202-00000000000880-883-000</t>
  </si>
  <si>
    <t>מיטב השתלמות מניות</t>
  </si>
  <si>
    <t>92%-104%</t>
  </si>
  <si>
    <t>512065202-00000000000874-877-000</t>
  </si>
  <si>
    <t>מיטב גמל מניות</t>
  </si>
  <si>
    <t>512065202-00000000000163-2105-000</t>
  </si>
  <si>
    <t>מיטב פנסיה מקיפה מניות</t>
  </si>
  <si>
    <t>64%-76%</t>
  </si>
  <si>
    <t>U.S. 1 Year Treasury</t>
  </si>
  <si>
    <t>512065202-00000000007857-7860-000</t>
  </si>
  <si>
    <t>מיטב גמל להשקעה – מניות</t>
  </si>
  <si>
    <t>512065202-00000000011385-11387-000</t>
  </si>
  <si>
    <t>מיטב חסכון לכל ילד חוסכים המעדיפים סיכון מוגבר</t>
  </si>
  <si>
    <t>512065202-00000000000660-2109-000</t>
  </si>
  <si>
    <t>מיטב פנסיה כללית מניות</t>
  </si>
  <si>
    <t>512065202-00000000000660-2108-000</t>
  </si>
  <si>
    <t>מיטב פנסיה כללית אשראי ואגח</t>
  </si>
  <si>
    <t>33%-43%</t>
  </si>
  <si>
    <t>38%-50%</t>
  </si>
  <si>
    <t>512065202-00000000000874-223-000</t>
  </si>
  <si>
    <t>מיטב גמל אשראי ואגח</t>
  </si>
  <si>
    <t>31%-41%</t>
  </si>
  <si>
    <t>32%-44%</t>
  </si>
  <si>
    <t>512065202-00000000000880-1240-000</t>
  </si>
  <si>
    <t>מיטב השתלמות אשראי ואגח</t>
  </si>
  <si>
    <t>30%-40%</t>
  </si>
  <si>
    <t>30%-42%</t>
  </si>
  <si>
    <t>512065202-00000000000163-2104-000</t>
  </si>
  <si>
    <t>מיטב פנסיה מקיפה אשראי ואגח</t>
  </si>
  <si>
    <t>14%-24%</t>
  </si>
  <si>
    <t>25%-37%</t>
  </si>
  <si>
    <t>512065202-00000000000885-1107-000</t>
  </si>
  <si>
    <t>מיטב פיצויים מסלול אגח ללא מניות</t>
  </si>
  <si>
    <t>45%-55%</t>
  </si>
  <si>
    <t>27%-39%</t>
  </si>
  <si>
    <t>512065202-00000000007857-7862-000</t>
  </si>
  <si>
    <t>מיטב גמל להשקעה אשראי ואגח</t>
  </si>
  <si>
    <t>36%-46%</t>
  </si>
  <si>
    <t>31%-43%</t>
  </si>
  <si>
    <t>512065202-00000000000880-8885-000</t>
  </si>
  <si>
    <t>מיטב השתלמות אשראי ואגח עם מניות (עד 25% מניות)</t>
  </si>
  <si>
    <t>4%-16%</t>
  </si>
  <si>
    <t>7%-19%</t>
  </si>
  <si>
    <t>512065202-00000000007857-7980-000</t>
  </si>
  <si>
    <t>מיטב גמל להשקעה אשראי ואגח עם מניות (עד 25% במניות)</t>
  </si>
  <si>
    <t>-1%-9%</t>
  </si>
  <si>
    <t>512065202-00000000000163-2156-000</t>
  </si>
  <si>
    <t>מיטב פנסיה מקיפה כהלכה</t>
  </si>
  <si>
    <t>50%-60%</t>
  </si>
  <si>
    <t>3%-13%</t>
  </si>
  <si>
    <t>512065202-00000000000880-768-000</t>
  </si>
  <si>
    <t>מיטב השתלמות הלכה</t>
  </si>
  <si>
    <t>80%-90%</t>
  </si>
  <si>
    <t>512065202-00000000000874-767-000</t>
  </si>
  <si>
    <t>מיטב גמל הלכה</t>
  </si>
  <si>
    <t>75%-85%</t>
  </si>
  <si>
    <t>512065202-00000000007857-7863-000</t>
  </si>
  <si>
    <t>מיטב גמל להשקעה – הלכה</t>
  </si>
  <si>
    <t>512065202-00000000000885-769-000</t>
  </si>
  <si>
    <t>מיטב פיצויים מסלול כהלכה</t>
  </si>
  <si>
    <t>37%-47%</t>
  </si>
  <si>
    <t>512065202-00000000000660-2159-000</t>
  </si>
  <si>
    <t>מיטב פנסיה כללית הלכה</t>
  </si>
  <si>
    <t>512065202-00000000000880-1387-000</t>
  </si>
  <si>
    <t>מיטב השתלמות אג"ח ממשלת ישראל</t>
  </si>
  <si>
    <t>73%-83%</t>
  </si>
  <si>
    <t>512065202-00000000000874-1386-000</t>
  </si>
  <si>
    <t>מיטב גמל אגח ממשלות</t>
  </si>
  <si>
    <t>10%-22%</t>
  </si>
  <si>
    <t>512065202-00000000000885-1528-000</t>
  </si>
  <si>
    <t>מיטב פיצויים שקלי</t>
  </si>
  <si>
    <t>74%-84%</t>
  </si>
  <si>
    <t>512065202-00000000000874-876-000</t>
  </si>
  <si>
    <t>מיטב גמל כספי (שקלי)</t>
  </si>
  <si>
    <t>70%-80%</t>
  </si>
  <si>
    <t>9%-21%</t>
  </si>
  <si>
    <t>512065202-00000000000880-1370-000</t>
  </si>
  <si>
    <t>מיטב השתלמות כספי (שקלי)</t>
  </si>
  <si>
    <t>77%-87%</t>
  </si>
  <si>
    <t>512065202-00000000007857-7861-000</t>
  </si>
  <si>
    <t>מיטב גמל להשקעה – טווח קצר</t>
  </si>
  <si>
    <t>78%-88%</t>
  </si>
  <si>
    <t>מדד מק"מ</t>
  </si>
  <si>
    <t>מדד קונצרני כללי</t>
  </si>
  <si>
    <t>512065202-00000000000885-1372-000</t>
  </si>
  <si>
    <t>מיטב פיצויים טווח קצר</t>
  </si>
  <si>
    <t>87%-97%</t>
  </si>
  <si>
    <t>512065202-00000000000880-15353-000</t>
  </si>
  <si>
    <t>מיטב השתלמות אגח סחיר</t>
  </si>
  <si>
    <t>U.S. 5 Year Treasury</t>
  </si>
  <si>
    <t>72%-84%</t>
  </si>
  <si>
    <t>Barclays Global Aggregate Corporate Bond Index  -70%
Barclays Global High Yield Bond Index - 30%</t>
  </si>
  <si>
    <t>90%-102%</t>
  </si>
  <si>
    <t>512065202-00000000007857-15347-000</t>
  </si>
  <si>
    <t>מיטב גמל להשקעה אגח סחיר</t>
  </si>
  <si>
    <t>512065202-00000000000874-15344-000</t>
  </si>
  <si>
    <t>מיטב גמל אגח סחיר</t>
  </si>
  <si>
    <t>512065202-00000000000163-15359-000</t>
  </si>
  <si>
    <t>מיטב פנסיה מקיפה אגח סחיר</t>
  </si>
  <si>
    <t>9%-19%</t>
  </si>
  <si>
    <t>49%-61%</t>
  </si>
  <si>
    <t>512065202-00000000000163-13260-000</t>
  </si>
  <si>
    <t>מיטב פנסיה מקיפה עוקב מדד S&amp;P500</t>
  </si>
  <si>
    <t>67%-79%</t>
  </si>
  <si>
    <t>sp500</t>
  </si>
  <si>
    <t>100% דולר</t>
  </si>
  <si>
    <t>512065202-00000000000880-13245-000</t>
  </si>
  <si>
    <t>מיטב השתלמות עוקב מדד S&amp;P500</t>
  </si>
  <si>
    <t>94%-106%</t>
  </si>
  <si>
    <t>512065202-00000000000874-13246-000</t>
  </si>
  <si>
    <t>מיטב גמל עוקב מדד S&amp;P500</t>
  </si>
  <si>
    <t>512065202-00000000007857-13259-000</t>
  </si>
  <si>
    <t>מיטב גמל להשקעה עוקב מדד S&amp;P 500</t>
  </si>
  <si>
    <t>512065202-00000000000660-13285-000</t>
  </si>
  <si>
    <t>מיטב פנסיה כללית עוקב מדד S&amp;P500</t>
  </si>
  <si>
    <t>512065202-00000000011385-11388-000</t>
  </si>
  <si>
    <t>מיטב חסכון לכל ילד מסלול הלכה</t>
  </si>
  <si>
    <t>512065202-00000000007857-14270-000</t>
  </si>
  <si>
    <t>מיטב גמל להשקעה קיימות</t>
  </si>
  <si>
    <t>sp 500 ESG</t>
  </si>
  <si>
    <t>512065202-00000000000163-14261-000</t>
  </si>
  <si>
    <t>מיטב מקיפה קיימות</t>
  </si>
  <si>
    <t>512065202-00000000000660-14269-000</t>
  </si>
  <si>
    <t>מיטב כללית קיימות</t>
  </si>
  <si>
    <t>512065202-00000000000880-14258-000</t>
  </si>
  <si>
    <t>מיטב השתלמות קיימות</t>
  </si>
  <si>
    <t>512065202-00000000000874-15346-000</t>
  </si>
  <si>
    <t>מיטב גמל קיימות</t>
  </si>
  <si>
    <t>512065202-00000000000163-1589-000</t>
  </si>
  <si>
    <t>מיטב פנסיה מקיפה עוקב מדדי מניות</t>
  </si>
  <si>
    <t>צמוד 5.1%</t>
  </si>
  <si>
    <t>512065202-00000000000874-1689-000</t>
  </si>
  <si>
    <t>מיטב גמל עוקב מדדי מניות</t>
  </si>
  <si>
    <t>512065202-00000000007857-7867-000</t>
  </si>
  <si>
    <t>מיטב גמל להשקעה עוקב מדדי מניות</t>
  </si>
  <si>
    <t>512065202-00000000000880-15356-000</t>
  </si>
  <si>
    <t>מיטב השתלמות עוקב מדדי מניות</t>
  </si>
  <si>
    <t>512065202-00000000000660-15362-000</t>
  </si>
  <si>
    <t>מיטב פנסיה כללית עוקב מדדי מניות</t>
  </si>
  <si>
    <t>512065202-00000000000874-14264-000</t>
  </si>
  <si>
    <t>מיטב גמל משולב סחיר</t>
  </si>
  <si>
    <t xml:space="preserve">מדד ת"א 125 </t>
  </si>
  <si>
    <t>512065202-00000000000163-14259-000</t>
  </si>
  <si>
    <t>מיטב מקיפה משולב סחיר</t>
  </si>
  <si>
    <t>512065202-00000000000660-14267-000</t>
  </si>
  <si>
    <t>מיטב כללית משולב סחיר</t>
  </si>
  <si>
    <t>512065202-00000000000880-15355-000</t>
  </si>
  <si>
    <t>מיטב השתלמות משולב סחיר</t>
  </si>
  <si>
    <t>512065202-00000000007857-15349-000</t>
  </si>
  <si>
    <t>מיטב גמל להשקעה משולב סחיר</t>
  </si>
  <si>
    <t>512065202-00000000000880-15352-000</t>
  </si>
  <si>
    <t>מיטב השתלמות מניות סחיר</t>
  </si>
  <si>
    <t>MSCI AC -40%
MSCI World Momentum-30%
MSCI World Technology -30%</t>
  </si>
  <si>
    <t>512065202-00000000007857-15350-000</t>
  </si>
  <si>
    <t>מיטב גמל להשקעה מניות סחיר</t>
  </si>
  <si>
    <t>512065202-00000000000874-15345-000</t>
  </si>
  <si>
    <t>מיטב גמל מניות סחיר</t>
  </si>
  <si>
    <t>512065202-00000000000163-15360-000</t>
  </si>
  <si>
    <t>מיטב פנסיה מקיפה מניות סחיר</t>
  </si>
  <si>
    <t>62%-74%</t>
  </si>
  <si>
    <t>512065202-00000000000660-15361-000</t>
  </si>
  <si>
    <t>מיטב פנסיה כללית מניות סחיר</t>
  </si>
  <si>
    <t>512065202-00000000000880-481-000</t>
  </si>
  <si>
    <t>מיטב השתלמות עוקב מדדים גמיש</t>
  </si>
  <si>
    <t>US IG - IBOXIG-52%
EU IG - LECPTREU-18%
US HY - BOXHY-22%
EU HY -IBOXXMJA-8%</t>
  </si>
  <si>
    <t>512065202-00000000007857-7979-000</t>
  </si>
  <si>
    <t>מיטב גמל להשקעה עוקב מדדים גמיש</t>
  </si>
  <si>
    <t>sp 500 -40%
Nasdaq 100-30%
MSCI World AC -30%</t>
  </si>
  <si>
    <t>512065202-00000000000874-14265-000</t>
  </si>
  <si>
    <t>מיטב גמל עוקב מדדים גמיש</t>
  </si>
  <si>
    <t>512065202-00000000000163-14260-000</t>
  </si>
  <si>
    <t>מיטב מקיפה עוקב מדדים גמיש</t>
  </si>
  <si>
    <t>512065202-00000000000660-14268-000</t>
  </si>
  <si>
    <t>מיטב כללית עוקב מדדים גמיש</t>
  </si>
  <si>
    <t>512065202-00000000000874-1692-000</t>
  </si>
  <si>
    <t>מיטב גמל עוקב מדדי אגח</t>
  </si>
  <si>
    <t>50%-62%</t>
  </si>
  <si>
    <t>512065202-00000000000880-15357-000</t>
  </si>
  <si>
    <t>מיטב השתלמות עוקב מדדי  אגח עם מניות (עד 25% מניות</t>
  </si>
  <si>
    <t>512065202-00000000007857-15351-000</t>
  </si>
  <si>
    <t>מיטב גמל להשקעה עוקב מדדי  אגח עם מניות (עד 25% מנ</t>
  </si>
  <si>
    <t>512065202-00000000000880-15354-000</t>
  </si>
  <si>
    <t>מיטב השתלמות סחיר - אגח עם מניות (עד 25% מניות)</t>
  </si>
  <si>
    <t>תל אביב 125</t>
  </si>
  <si>
    <t>28%-38%</t>
  </si>
  <si>
    <t>36%-48%</t>
  </si>
  <si>
    <t>512065202-00000000007857-15348-000</t>
  </si>
  <si>
    <t>מיטב גמל להשקעה סחיר - אגח עם מניות (עד 25% מניות)</t>
  </si>
  <si>
    <t>512065202-00000000000163-12157-000</t>
  </si>
  <si>
    <t>מיטב פנסיה מקיפה פנסיונרים 2018 והלאה</t>
  </si>
  <si>
    <t>55%-65%</t>
  </si>
  <si>
    <t>512065202-00000000000163-2157-000</t>
  </si>
  <si>
    <t>מיטב פנסיה מקיפה מקבלי קיצבה</t>
  </si>
  <si>
    <t>24%-34%</t>
  </si>
  <si>
    <t>512065202-00000000000660-2160-000</t>
  </si>
  <si>
    <t>מיטב פנסיה כללית מקבלי קיצבה</t>
  </si>
  <si>
    <t>512065202-00000000000660-12158-000</t>
  </si>
  <si>
    <t>מיטב פנסיה כללית פנסיונרים 2018 והלאה</t>
  </si>
  <si>
    <t>10%-20%</t>
  </si>
  <si>
    <t>512065202-00000000000163-8645-000</t>
  </si>
  <si>
    <t>מיטב פנסיה מקיפה זכאים</t>
  </si>
  <si>
    <t>65%-75%</t>
  </si>
  <si>
    <t>512065202-00000000000163-12966-000</t>
  </si>
  <si>
    <t>מיטב פנסיה מקיפה פנסיונרים הלכה</t>
  </si>
  <si>
    <t>512065202-00000000000660-13286-000</t>
  </si>
  <si>
    <t>מיטב כללית מסלול הלכה למקבלי קצבה</t>
  </si>
  <si>
    <t>512065202-00000000000163-15666-000</t>
  </si>
  <si>
    <t>מיטב פנסיה מקיפה מקבלי קצבה עוקב מדדים השקעות</t>
  </si>
  <si>
    <t xml:space="preserve"> ‏S&amp;P 500 -50%
תל אביב 125 -25%
MSCI ACWI ex-US -25%</t>
  </si>
  <si>
    <t>512065202-00000000000660-15665-000</t>
  </si>
  <si>
    <t>מיטב פנסיה כללית מקבלי קצבה עוקב מדדים השקעות</t>
  </si>
  <si>
    <t>89%-101%</t>
  </si>
  <si>
    <t>34%-46%</t>
  </si>
  <si>
    <t>512065202-00000000000120-120-000</t>
  </si>
  <si>
    <t>מיטב בטחון מבטיח תשואה 4.5</t>
  </si>
  <si>
    <t>4.5% צמוד</t>
  </si>
  <si>
    <t>512065202-00000000000120-529-000</t>
  </si>
  <si>
    <t>מיטב בטחון מבטיח תשואה 5.5</t>
  </si>
  <si>
    <t>5.5% צמוד</t>
  </si>
  <si>
    <t>סוף טבלה</t>
  </si>
  <si>
    <t>סוף מידע</t>
  </si>
  <si>
    <t xml:space="preserve">מיטב גמל ופנסיה בע"מ
מדיניות השקעות אחראיות </t>
  </si>
  <si>
    <t xml:space="preserve">השקעות אחראיות מתייחסות, בין היתר, לשיקולי השקעה נוספים (זולת שיקולים כלכליים גרידא), המתייחסים להיבטים של (א) שקיפות ושילוב שיקולי סביבה, חברה וממשל תאגידי (ESG); (ב) שילוב השקעות שתכליתן מימוש תועלות חברתיות וסביבתיות חיוביות ומדידות לצד תשואות פיננסיות תחרותיות (Impact Investments). </t>
  </si>
  <si>
    <t xml:space="preserve">מדיניות ההשקעות הצפויה של מיטב גמל ופנסיה בע"מ ("מיטב"), מתייחסת  להיבטים הנוגעים להשקעות אחראיות ומיושמות על בסיס העקרונות הבאים: </t>
  </si>
  <si>
    <t xml:space="preserve">מטרת המדיניות </t>
  </si>
  <si>
    <t xml:space="preserve">מדיניות ההשקעות אחראיות נובעת מתוך הכרה בחשיבות של הנושאים המאוגדים תחת המונח האמור, ותכליתה לסייע למיטב להשיא ערך ישיר ועקיף לעמיתים, על ידי הרחבת והעמקת תהליך קבלת החלטות ההשקעה לרבדים נוספים.  </t>
  </si>
  <si>
    <t xml:space="preserve">יצוין, כי הגישה אותה שואפת מיטב לאמץ הינה הגישה החיובית בתחום ההשקעות החברתיות, הגורסת כי יש לשקול ולהעניק משקל יתר לתאגידים שערכי ה-ESG שלהם גבוהים בתוך קבוצת הייחוס הרלוונטית. בהתאם, במסגרת בחינת הצעות השקעה בעלות מאפיינים כלכליים דומים או זהים – תינתן עדיפות להשקעות הטומנות בחובן גם ערכים מתחום עולם ההשקעות האחראיות (לדוגמה מתן העדפה השקעה בתחום האנרגיה המתחדשת אל מול השקעה בתאגידים מתחום האנרגיות המסורתיות בתשואה דומה או זהה ו/או השקעה בתאגיד מסורתי אשר מדורג באופן יחסי במיקום גבוה ביחס לתאגידים נוספים או אחרים בקבוצת הייחוס שלו). </t>
  </si>
  <si>
    <t xml:space="preserve">במסגרת זו, מיטב תפעל ליישם גישה המקדמת השקעות בחברות קשובות, שבמסגרתה החתירה לרווחיות פיננסית והבחינה הכלכלית של התאגידים נשוא השקעה, תהא שזורה בחתירה להשאת ערך לכלל מחזיקי העניין (לרבות בעלי מניות מיעוט, נושים, עובדים, לקוחות, ספקים וקהילה), וכן בנוגע להשפעת המהלכים העסקיים של התאגידים נשוא ההשקעה על תוצאותיהם בטווח הקצר והארוך (תוך שאיפה לאיזון ביניהם).  </t>
  </si>
  <si>
    <t xml:space="preserve">שיקולי ממשל תאגידי  </t>
  </si>
  <si>
    <t>v      במסגרת שיקולי ההשקעה יילקחו בחשבון שיקולים הנוגעים לאיכות הממשל התאגידי בתאגיד נשוא ההשקעה (בין אם מדובר בהשקעות אקוויטי ובין אם מדובר בהשקעות חוב). היישום בפועל של היבטי ממשל תאגידי יבוצע בהתאם לאמות המידה בתחום הממשל התאגידי אותו אימצה ועדת ההשקעות של החברה וכן במסגרת אפשרויות השפעה המוקנות למיטב במסגרת השתתפותה באסיפות כלליות של בעלי המניות ו/או אסיפות חוב.</t>
  </si>
  <si>
    <t>v      מיטב תשאף להביא לשיפור באיכות הממשל התאגידי בתאגידים המוחזקים בתיק ההשקעות ובהתאם לעקרונות המודל אותו אימצה ועדת ההשקעות לבחינת אמות המידה בתחום הממשל התאגידי, תיזום פגישות עם תאגידים המדורגים בדירוגים הנמוכים ותנסה להפעיל את השפעתה לשיפור איכות הממשל התאגידי.</t>
  </si>
  <si>
    <r>
      <t>v</t>
    </r>
    <r>
      <rPr>
        <sz val="7"/>
        <color theme="1"/>
        <rFont val="Arial"/>
        <family val="2"/>
      </rPr>
      <t xml:space="preserve">      </t>
    </r>
    <r>
      <rPr>
        <sz val="11"/>
        <color theme="1"/>
        <rFont val="Arial"/>
        <family val="2"/>
      </rPr>
      <t xml:space="preserve"> במסגרת בחינת השקעות לא סחירות, או ביצוע השקעה מהותית בתחום הסחיר (הקצאה פרטית, רכישת נתח משמעותי וכיו"ב), במסגרת הדיון בהצעת ההשקעה, יימסר גילוי בפני ועדת ההשקעות על הרקע של בעלי השליטה והמנהלים בתאגיד, בנוסף לגילוי בנוגע לאיכות הממשל התאגידי בתאגיד נשוא ההשקעה.</t>
    </r>
  </si>
  <si>
    <t xml:space="preserve">v      מיטב מנהלת מעקב רציף ויזום באשר להחזקות המהותיות בתיק הנכסים שבניהולה, ובכלל כך תגלה מעורבות מוסדית אקטיבית בכל הנוגע לאופן ההתנהלות של התאגידים כאמור ושמירת הממשל התאגידי (לרבות ביצוע פעולות אקטיביות לצורך מינוי דירקטורים מטעם בעלי מניות המיעוט, בחינת הרכב הדירקטוריון, ותפקוד ההנהלה, וכן נקיטת פעולות נוספות שתכליתן להבטיח את שיפור הממשל התאגידי בתאגידים המוחזקים כאמור ושמירה על האינטרסים של ציבור המשקיעים). בתוך כך, מיטב גיבשה מדיניות עצמאית הנוגעת לאופן השתתפותה באסיפות כלליות של בעלי המניות בתאגידים המוחזקים במסגרת תיק הנכסים המנוהל על ידה.   </t>
  </si>
  <si>
    <t xml:space="preserve">v      באופן דומה, מיטב תגלה מעורבות פעילה במסגרת גיבוש הסדרי חוב, בכפוף להוראות הדין ובהתאם לעקרונות המנחים שנקבעו על ידי ועדת ההשקעות. במסגרת זו, מיטב תפעל למקסום ההחזר עבור ציבור המחזיקים ותשאף ליישם אלמנטים של הגברת תרומת בעלי השליטה להסדר, קבלת אופציות להגדלת ההחזר המתקבל בידי בעלי החוב עם שיפור עתידי בתאגיד נשוא ההסדר, הגבלת הוצאות ומשיכת שכר מהתאגיד וכיו"ב. </t>
  </si>
  <si>
    <t>שיקולים סביבתיים</t>
  </si>
  <si>
    <r>
      <t>v</t>
    </r>
    <r>
      <rPr>
        <sz val="7"/>
        <color theme="1"/>
        <rFont val="Arial"/>
        <family val="2"/>
      </rPr>
      <t xml:space="preserve">      </t>
    </r>
    <r>
      <rPr>
        <sz val="11"/>
        <color theme="1"/>
        <rFont val="Arial"/>
        <family val="2"/>
      </rPr>
      <t xml:space="preserve">במסגרת תהליך הבחינה של החלטות השקעה, נבחנות בין היתר ההשפעות הסביבתיות  וההשלכות הכלכליות על שווי ההשקעה (לרבות השלכות שליליות הנובעות מחשיפה פוטנציאלית, כגון עיצומים וקנסות המוטלים על תאגידים מזהמים). </t>
    </r>
  </si>
  <si>
    <t xml:space="preserve">v      בתחום ההשקעות הלא סחירות, תחת הנחות יסוד כלכליות (בהיבטים של תשואה, חשיפה לענפים וגיאוגרפיות ורמת סיכון), מיטב תבחן אפשרויות להגדלת תיק הנכסים המנוהל על ידה בהשקעות בתחום האנרגיות המתחדשות והנקיות בפריסה גיאוגרפית רחבה ותוך שילוב של שיטות שונות ליצירת אנרגיה; וכן בתשתיות שתכליתם קידום מערכות של הסעת המונים ותחבורה ציבורית. </t>
  </si>
  <si>
    <t xml:space="preserve">שיקולים חברתיים  </t>
  </si>
  <si>
    <t xml:space="preserve">v      במסגרת בחינת הרכב תיק הנכסים המנוהל על ידי מיטב, ייבחנו סגמנטים שונים בעלי פוטנציאל השפעה שלילית חברתית לרבות בריאות הציבור ופגיעה במבנים חברתיים אשר עשויים לפגוע במישרין או בעקיפין בעמיתים.   </t>
  </si>
  <si>
    <t xml:space="preserve">v      מיטב תימנע מהשקעות במדינות שלגביהן חל איסור לבצע השקעה ו/או כאלה אשר מופעלות לגביהן סנקציות על ידי מוסדות בינלאומיים (בהתאם לרשימות המתפרסמות מעת לעת).  </t>
  </si>
  <si>
    <t xml:space="preserve">v      במסגרת בחינת ההשקעות בתיק הנכסים של מיטב ובדגש על השקעות לא סחירות, לא יבוצעו השקעות עם בעלי שליטה אשר הורשעו ברף הגבוה של עבירות פליליות (אותן תקבע ועדת ההשקעות) הנוגעות, בין היתר, לסחר בבני אדם, סמים, הברחות חומרים מסוכנים, סחר עם מדינות אויב וכיו"ב.  </t>
  </si>
  <si>
    <t>שיקולי IMPACT</t>
  </si>
  <si>
    <t xml:space="preserve">v      במסגרת תהליך בחינת ההשקעות, תיבחן האפשרות לשלב השקעות Impact בשים לב למאפיינים הפרטניים של כל השקעה, והתאמת ההשקעה לפרמטרים הקבועים במדיניות מיטב להשקעה בקרנות השקעה (בהיבטים של תשואה, חשיפה לענפים ולגיאוגרפיות ורמת סיכון).  </t>
  </si>
  <si>
    <t>תחולה ובחינה חוזרת</t>
  </si>
  <si>
    <t>v      מדיניות זו תקפה להשקעות המבוצעות ישירות על ידי מיטב ואינה מתייחסת להשקעות ישירות ו/או עקיפות במדדים או בפעילות של מנהלי תיקים (נכסים) חיצוניים.מיטב שואפת להרחיב מדיניות זו גם על מנהלי נכסים חיצוניים ותבחן בעתיד שילוב היבטים אלו בבואה לבחון ולבדוק מנהלים אלו.</t>
  </si>
  <si>
    <t>v      מיטב תבחן ותעמיק את מדיניותה בנוגע ליישום שיקולים הנוגעים להשקעות אחראיות, מדי שנה, ותביא לאישור של ועדת ההשקעות את ההצעות לשינויים במדיניותה.</t>
  </si>
  <si>
    <t>v      עיקרי השיקולים כאמור יפורסמו במסגרת הצהרת המדיניות השנתית של מיטב באתר האינטרנט ובדיוור הישיר לציבור העמיתים.  </t>
  </si>
  <si>
    <t>ממשלתי ישראל*</t>
  </si>
  <si>
    <t xml:space="preserve">*אג"ח ממשלתי,  לא כולל  אג"ח ממשלתי במחמ עד שנה המוחזק כנגד השקעה בחוזים עתידיים ואופציות. ליום 31.12.2025 שיעור האג"ח הממשלתי הכולל עומד על 67.91% </t>
  </si>
  <si>
    <t xml:space="preserve">*אג"ח ממשלתי,  לא כולל  אג"ח ממשלתי במחמ עד שנה המוחזק כנגד השקעה בחוזים עתידיים ואופציות. ליום 31.12.2025 שיעור האג"ח הממשלתי הכולל עומד על 55.81% </t>
  </si>
  <si>
    <t xml:space="preserve">*אג"ח ממשלתי,  לא כולל  אג"ח ממשלתי במחמ עד שנה המוחזק כנגד השקעה בחוזים עתידיים ואופציות. ליום 31.12.2025 שיעור האג"ח הממשלתי הכולל עומד על 55.77% </t>
  </si>
  <si>
    <t xml:space="preserve">*אג"ח ממשלתי,  לא כולל  אג"ח ממשלתי במחמ עד שנה המוחזק כנגד השקעה בחוזים עתידיים ואופציות. ליום 31.12.2025 שיעור האג"ח הממשלתי הכולל עומד על 55.85% </t>
  </si>
  <si>
    <t xml:space="preserve">*אג"ח ממשלתי,  לא כולל  אג"ח ממשלתי במחמ עד שנה המוחזק כנגד השקעה בחוזים עתידיים ואופציות. ליום 31.12.2025 שיעור האג"ח הממשלתי הכולל עומד על 55.72% </t>
  </si>
  <si>
    <t xml:space="preserve">*אג"ח ממשלתי,  לא כולל  אג"ח ממשלתי במחמ עד שנה המוחזק כנגד השקעה בחוזים עתידיים ואופציות. ליום 31.12.2025 שיעור האג"ח הממשלתי הכולל עומד על 58.15% </t>
  </si>
  <si>
    <t xml:space="preserve">*אג"ח ממשלתי,  לא כולל  אג"ח ממשלתי במחמ עד שנה המוחזק כנגד השקעה בחוזים עתידיים ואופציות. ליום 31.12.2025 שיעור האג"ח הממשלתי הכולל עומד על 84.8% </t>
  </si>
  <si>
    <t xml:space="preserve">*אג"ח ממשלתי,  לא כולל  אג"ח ממשלתי במחמ עד שנה המוחזק כנגד השקעה בחוזים עתידיים ואופציות. ליום 31.12.2025 שיעור האג"ח הממשלתי הכולל עומד על 84.84% </t>
  </si>
  <si>
    <t xml:space="preserve">*אג"ח ממשלתי,  לא כולל  אג"ח ממשלתי במחמ עד שנה המוחזק כנגד השקעה בחוזים עתידיים ואופציות. ליום 31.12.2025 שיעור האג"ח הממשלתי הכולל עומד על 84.38% </t>
  </si>
  <si>
    <t xml:space="preserve">*אג"ח ממשלתי,  לא כולל  אג"ח ממשלתי במחמ עד שנה המוחזק כנגד השקעה בחוזים עתידיים ואופציות. ליום 31.12.2025 שיעור האג"ח הממשלתי הכולל עומד על 86.93% </t>
  </si>
  <si>
    <t xml:space="preserve">*אג"ח ממשלתי,  לא כולל  אג"ח ממשלתי במחמ עד שנה המוחזק כנגד השקעה בחוזים עתידיים ואופציות. ליום 31.12.2025 שיעור האג"ח הממשלתי הכולל עומד על 85.12% </t>
  </si>
  <si>
    <t xml:space="preserve">*אג"ח ממשלתי,  לא כולל  אג"ח ממשלתי במחמ עד שנה המוחזק כנגד השקעה בחוזים עתידיים ואופציות. ליום 31.12.2025 שיעור האג"ח הממשלתי הכולל עומד על 75.59% </t>
  </si>
  <si>
    <t xml:space="preserve">*אג"ח ממשלתי,  לא כולל  אג"ח ממשלתי במחמ עד שנה המוחזק כנגד השקעה בחוזים עתידיים ואופציות. ליום 31.12.2025 שיעור האג"ח הממשלתי הכולל עומד על 69.92% </t>
  </si>
  <si>
    <t xml:space="preserve">*אג"ח ממשלתי,  לא כולל  אג"ח ממשלתי במחמ עד שנה המוחזק כנגד השקעה בחוזים עתידיים ואופציות. ליום 31.12.2025 שיעור האג"ח הממשלתי הכולל עומד על 69.94% </t>
  </si>
  <si>
    <t xml:space="preserve">*אג"ח ממשלתי,  לא כולל  אג"ח ממשלתי במחמ עד שנה המוחזק כנגד השקעה בחוזים עתידיים ואופציות. ליום 31.12.2025 שיעור האג"ח הממשלתי הכולל עומד על 69.06% </t>
  </si>
  <si>
    <t xml:space="preserve">*אג"ח ממשלתי,  לא כולל  אג"ח ממשלתי במחמ עד שנה המוחזק כנגד השקעה בחוזים עתידיים ואופציות. ליום 31.12.2025 שיעור האג"ח הממשלתי הכולל עומד על 69.7% </t>
  </si>
  <si>
    <t xml:space="preserve">*אג"ח ממשלתי,  לא כולל  אג"ח ממשלתי במחמ עד שנה המוחזק כנגד השקעה בחוזים עתידיים ואופציות. ליום 31.12.2025 שיעור האג"ח הממשלתי הכולל עומד על 20.45% </t>
  </si>
  <si>
    <t xml:space="preserve">*אג"ח ממשלתי,  לא כולל  אג"ח ממשלתי במחמ עד שנה המוחזק כנגד השקעה בחוזים עתידיים ואופציות. ליום 31.12.2025 שיעור האג"ח הממשלתי הכולל עומד על 37.45% </t>
  </si>
  <si>
    <t xml:space="preserve">*אג"ח ממשלתי,  לא כולל  אג"ח ממשלתי במחמ עד שנה המוחזק כנגד השקעה בחוזים עתידיים ואופציות. ליום 31.12.2025 שיעור האג"ח הממשלתי הכולל עומד על 20.56% </t>
  </si>
  <si>
    <t xml:space="preserve">*אג"ח ממשלתי,  לא כולל  אג"ח ממשלתי במחמ עד שנה המוחזק כנגד השקעה בחוזים עתידיים ואופציות. ליום 31.12.2025 שיעור האג"ח הממשלתי הכולל עומד על 20.42% </t>
  </si>
  <si>
    <t xml:space="preserve">*אג"ח ממשלתי,  לא כולל  אג"ח ממשלתי במחמ עד שנה המוחזק כנגד השקעה בחוזים עתידיים ואופציות. ליום 31.12.2025 שיעור האג"ח הממשלתי הכולל עומד על 20.58% </t>
  </si>
  <si>
    <t xml:space="preserve">*אג"ח ממשלתי,  לא כולל  אג"ח ממשלתי במחמ עד שנה המוחזק כנגד השקעה בחוזים עתידיים ואופציות. ליום 31.12.2025 שיעור האג"ח הממשלתי הכולל עומד על 77.34% </t>
  </si>
  <si>
    <t xml:space="preserve">*אג"ח ממשלתי,  לא כולל  אג"ח ממשלתי במחמ עד שנה המוחזק כנגד השקעה בחוזים עתידיים ואופציות. ליום 31.12.2025 שיעור האג"ח הממשלתי הכולל עומד על 76.96% </t>
  </si>
  <si>
    <t xml:space="preserve">*אג"ח ממשלתי,  לא כולל  אג"ח ממשלתי במחמ עד שנה המוחזק כנגד השקעה בחוזים עתידיים ואופציות. ליום 31.12.2025 שיעור האג"ח הממשלתי הכולל עומד על 75.91% </t>
  </si>
  <si>
    <t xml:space="preserve">*אג"ח ממשלתי,  לא כולל  אג"ח ממשלתי במחמ עד שנה המוחזק כנגד השקעה בחוזים עתידיים ואופציות. ליום 31.12.2025 שיעור האג"ח הממשלתי הכולל עומד על 81.24% </t>
  </si>
  <si>
    <t xml:space="preserve">*אג"ח ממשלתי,  לא כולל  אג"ח ממשלתי במחמ עד שנה המוחזק כנגד השקעה בחוזים עתידיים ואופציות. ליום 31.12.2025 שיעור האג"ח הממשלתי הכולל עומד על 76.02% </t>
  </si>
  <si>
    <t xml:space="preserve">*אג"ח ממשלתי,  לא כולל  אג"ח ממשלתי במחמ עד שנה המוחזק כנגד השקעה בחוזים עתידיים ואופציות. ליום 31.12.2025 שיעור האג"ח הממשלתי הכולל עומד על 29.27% </t>
  </si>
  <si>
    <t xml:space="preserve">*אג"ח ממשלתי,  לא כולל  אג"ח ממשלתי במחמ עד שנה המוחזק כנגד השקעה בחוזים עתידיים ואופציות. ליום 31.12.2025 שיעור האג"ח הממשלתי הכולל עומד על 29.26% </t>
  </si>
  <si>
    <t xml:space="preserve">*אג"ח ממשלתי,  לא כולל  אג"ח ממשלתי במחמ עד שנה המוחזק כנגד השקעה בחוזים עתידיים ואופציות. ליום 31.12.2025 שיעור האג"ח הממשלתי הכולל עומד על 29.2% </t>
  </si>
  <si>
    <t xml:space="preserve">*אג"ח ממשלתי,  לא כולל  אג"ח ממשלתי במחמ עד שנה המוחזק כנגד השקעה בחוזים עתידיים ואופציות. ליום 31.12.2025 שיעור האג"ח הממשלתי הכולל עומד על 40.75% </t>
  </si>
  <si>
    <t xml:space="preserve">*אג"ח ממשלתי,  לא כולל  אג"ח ממשלתי במחמ עד שנה המוחזק כנגד השקעה בחוזים עתידיים ואופציות. ליום 31.12.2025 שיעור האג"ח הממשלתי הכולל עומד על 29.18% </t>
  </si>
  <si>
    <t xml:space="preserve">*אג"ח ממשלתי,  לא כולל  אג"ח ממשלתי במחמ עד שנה המוחזק כנגד השקעה בחוזים עתידיים ואופציות. ליום 31.12.2025 שיעור האג"ח הממשלתי הכולל עומד על 45.42% </t>
  </si>
  <si>
    <t xml:space="preserve">*אג"ח ממשלתי,  לא כולל  אג"ח ממשלתי במחמ עד שנה המוחזק כנגד השקעה בחוזים עתידיים ואופציות. ליום 31.12.2025 שיעור האג"ח הממשלתי הכולל עומד על 46.34%% </t>
  </si>
  <si>
    <t xml:space="preserve">*אג"ח ממשלתי,  לא כולל  אג"ח ממשלתי במחמ עד שנה המוחזק כנגד השקעה בחוזים עתידיים ואופציות. ליום 31.12.2025 שיעור האג"ח הממשלתי הכולל עומד על 45.05% </t>
  </si>
  <si>
    <t>מספר מסלול</t>
  </si>
  <si>
    <t>שם מסלול</t>
  </si>
  <si>
    <t>מהות השינוי</t>
  </si>
  <si>
    <t>תאריך עדכון</t>
  </si>
  <si>
    <t>54%-66%</t>
  </si>
  <si>
    <t>S&amp;P 500 - 66%
תל אביב 125 - 34%</t>
  </si>
  <si>
    <t xml:space="preserve">תל בונד 60 - 50%
תל בונד שיקלי - 50%
</t>
  </si>
  <si>
    <t>מיטב גמל להשקעה אגח ממשלות</t>
  </si>
  <si>
    <t>512065202-00000000007857-15472-000</t>
  </si>
  <si>
    <t>US Listed Semiconductor 25 Index-MVSMHTR-40%
Consumer Discretionary Sector Index-IXYTR-20%
Communication Services Sector Index-IXCTR-20%
software &amp;services industry group gics level 2 index-S5SFTW-10%
technology hardware &amp; equipment  industry group gics level 2 index-S5TECH-10%</t>
  </si>
  <si>
    <t>עדכון מדדי ייחוס  ל -US Listed Semiconductor 25 Index-MVSMHTR-40%
Consumer Discretionary Sector Index-IXYTR-20%
Communication Services Sector Index-IXCTR-20%
software &amp;services industry group gics level 2 index-S5SFTW-10%
technology hardware &amp; equipment  industry group gics level 2 index-S5TECH-10%</t>
  </si>
  <si>
    <t>כל המסלולים</t>
  </si>
  <si>
    <t>הורדת מגבלת מזומן ממדיניות ההשקעות הצפוייה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</si>
</sst>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15" x14ac:knownFonts="1">
    <font>
      <sz val="11"/>
      <color theme="1"/>
      <name val="Arial"/>
      <family val="2"/>
      <charset val="177"/>
      <scheme val="minor"/>
    </font>
    <font>
      <sz val="11"/>
      <color theme="1"/>
      <name val="Arial"/>
      <family val="2"/>
      <charset val="177"/>
      <scheme val="minor"/>
    </font>
    <font>
      <b/>
      <sz val="16"/>
      <name val="Arial"/>
      <family val="2"/>
      <scheme val="minor"/>
    </font>
    <font>
      <sz val="10"/>
      <name val="Arial"/>
      <family val="2"/>
    </font>
    <font>
      <b/>
      <i/>
      <sz val="11"/>
      <name val="Arial"/>
      <family val="2"/>
    </font>
    <font>
      <b/>
      <i/>
      <sz val="11"/>
      <name val="Arial"/>
      <family val="2"/>
      <scheme val="minor"/>
    </font>
    <font>
      <b/>
      <sz val="10"/>
      <name val="Arial"/>
      <family val="2"/>
    </font>
    <font>
      <sz val="11"/>
      <color theme="1"/>
      <name val="Calibri"/>
      <family val="2"/>
      <charset val="177"/>
    </font>
    <font>
      <sz val="10"/>
      <name val="Arial"/>
      <family val="2"/>
      <scheme val="minor"/>
    </font>
    <font>
      <sz val="11"/>
      <name val="Arial"/>
      <family val="2"/>
      <scheme val="minor"/>
    </font>
    <font>
      <b/>
      <sz val="20"/>
      <color theme="1"/>
      <name val="Arial"/>
      <family val="2"/>
    </font>
    <font>
      <b/>
      <u/>
      <sz val="11"/>
      <color theme="1"/>
      <name val="Arial"/>
      <family val="2"/>
    </font>
    <font>
      <sz val="11"/>
      <color theme="1"/>
      <name val="Arial"/>
      <family val="2"/>
    </font>
    <font>
      <sz val="7"/>
      <color theme="1"/>
      <name val="Arial"/>
      <family val="2"/>
    </font>
    <font>
      <b/>
      <sz val="11"/>
      <color theme="1"/>
      <name val="Arial"/>
      <family val="2"/>
      <scheme val="minor"/>
    </font>
  </fonts>
  <fills count="8">
    <fill>
      <patternFill patternType="none"/>
    </fill>
    <fill>
      <patternFill patternType="gray125"/>
    </fill>
    <fill>
      <patternFill patternType="solid">
        <fgColor theme="8" tint="0.79998168889431442"/>
        <bgColor indexed="64"/>
      </patternFill>
    </fill>
    <fill>
      <patternFill patternType="solid">
        <fgColor rgb="FF92D050"/>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79998168889431442"/>
        <bgColor theme="4" tint="0.79998168889431442"/>
      </patternFill>
    </fill>
  </fills>
  <borders count="36">
    <border>
      <left/>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theme="4" tint="0.39997558519241921"/>
      </top>
      <bottom style="thin">
        <color indexed="64"/>
      </bottom>
      <diagonal/>
    </border>
  </borders>
  <cellStyleXfs count="4">
    <xf numFmtId="0" fontId="0" fillId="0" borderId="0"/>
    <xf numFmtId="9" fontId="1" fillId="0" borderId="0" applyFont="0" applyFill="0" applyBorder="0" applyAlignment="0" applyProtection="0"/>
    <xf numFmtId="0" fontId="3" fillId="0" borderId="0"/>
    <xf numFmtId="0" fontId="7" fillId="0" borderId="0"/>
  </cellStyleXfs>
  <cellXfs count="56">
    <xf numFmtId="0" fontId="0" fillId="0" borderId="0" xfId="0"/>
    <xf numFmtId="0" fontId="4" fillId="4" borderId="1" xfId="2" applyFont="1" applyFill="1" applyBorder="1" applyAlignment="1">
      <alignment horizontal="center" vertical="center" wrapText="1"/>
    </xf>
    <xf numFmtId="0" fontId="4" fillId="4" borderId="5" xfId="2" applyFont="1" applyFill="1" applyBorder="1" applyAlignment="1">
      <alignment horizontal="center" vertical="center" wrapText="1"/>
    </xf>
    <xf numFmtId="164" fontId="3" fillId="0" borderId="9" xfId="1" applyNumberFormat="1" applyFont="1" applyFill="1" applyBorder="1" applyAlignment="1">
      <alignment horizontal="center" vertical="center" wrapText="1" readingOrder="2"/>
    </xf>
    <xf numFmtId="10" fontId="3" fillId="0" borderId="10" xfId="1" applyNumberFormat="1" applyFont="1" applyFill="1" applyBorder="1" applyAlignment="1">
      <alignment horizontal="center" vertical="center" wrapText="1" readingOrder="2"/>
    </xf>
    <xf numFmtId="0" fontId="3" fillId="0" borderId="10" xfId="0" applyFont="1" applyBorder="1" applyAlignment="1">
      <alignment horizontal="center" vertical="center" wrapText="1" readingOrder="2"/>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readingOrder="2"/>
    </xf>
    <xf numFmtId="164" fontId="3" fillId="0" borderId="10" xfId="1" applyNumberFormat="1" applyFont="1" applyFill="1" applyBorder="1" applyAlignment="1">
      <alignment horizontal="center" vertical="center" wrapText="1" readingOrder="2"/>
    </xf>
    <xf numFmtId="10" fontId="3" fillId="0" borderId="13" xfId="1" applyNumberFormat="1" applyFont="1" applyFill="1" applyBorder="1" applyAlignment="1">
      <alignment horizontal="center" vertical="center" wrapText="1" readingOrder="2"/>
    </xf>
    <xf numFmtId="10" fontId="3" fillId="0" borderId="12" xfId="1" applyNumberFormat="1" applyFont="1" applyFill="1" applyBorder="1" applyAlignment="1">
      <alignment horizontal="center" vertical="center" wrapText="1" readingOrder="2"/>
    </xf>
    <xf numFmtId="0" fontId="3" fillId="0" borderId="14" xfId="0" applyFont="1" applyBorder="1" applyAlignment="1">
      <alignment horizontal="center" vertical="center" wrapText="1"/>
    </xf>
    <xf numFmtId="164" fontId="3" fillId="0" borderId="15" xfId="1" applyNumberFormat="1" applyFont="1" applyFill="1" applyBorder="1" applyAlignment="1">
      <alignment horizontal="center" vertical="center" wrapText="1" readingOrder="2"/>
    </xf>
    <xf numFmtId="0" fontId="3" fillId="0" borderId="16" xfId="0" applyFont="1" applyBorder="1" applyAlignment="1">
      <alignment horizontal="center" vertical="center" wrapText="1" readingOrder="2"/>
    </xf>
    <xf numFmtId="0" fontId="6" fillId="5" borderId="18" xfId="0" applyFont="1" applyFill="1" applyBorder="1" applyAlignment="1">
      <alignment horizontal="center" vertical="center" wrapText="1" readingOrder="2"/>
    </xf>
    <xf numFmtId="0" fontId="6" fillId="5" borderId="19" xfId="0" applyFont="1" applyFill="1" applyBorder="1" applyAlignment="1">
      <alignment horizontal="center" vertical="center" wrapText="1" readingOrder="2"/>
    </xf>
    <xf numFmtId="0" fontId="6" fillId="5" borderId="20" xfId="0" applyFont="1" applyFill="1" applyBorder="1" applyAlignment="1">
      <alignment horizontal="center" vertical="center" wrapText="1" readingOrder="2"/>
    </xf>
    <xf numFmtId="0" fontId="8" fillId="0" borderId="21" xfId="3" applyFont="1" applyBorder="1" applyAlignment="1">
      <alignment horizontal="center" vertical="center" wrapText="1" readingOrder="2"/>
    </xf>
    <xf numFmtId="0" fontId="8" fillId="0" borderId="22" xfId="3" applyFont="1" applyBorder="1" applyAlignment="1">
      <alignment horizontal="center" vertical="center" wrapText="1" readingOrder="2"/>
    </xf>
    <xf numFmtId="0" fontId="6" fillId="5" borderId="23" xfId="2" applyFont="1" applyFill="1" applyBorder="1" applyAlignment="1">
      <alignment horizontal="center" vertical="center" wrapText="1"/>
    </xf>
    <xf numFmtId="0" fontId="6" fillId="5" borderId="24" xfId="0" applyFont="1" applyFill="1" applyBorder="1" applyAlignment="1">
      <alignment horizontal="center" vertical="center" wrapText="1" readingOrder="2"/>
    </xf>
    <xf numFmtId="0" fontId="6" fillId="5" borderId="25" xfId="0" applyFont="1" applyFill="1" applyBorder="1" applyAlignment="1">
      <alignment horizontal="center" vertical="center" wrapText="1" readingOrder="2"/>
    </xf>
    <xf numFmtId="0" fontId="6" fillId="5" borderId="26" xfId="0" applyFont="1" applyFill="1" applyBorder="1" applyAlignment="1">
      <alignment horizontal="center" vertical="center" wrapText="1" readingOrder="2"/>
    </xf>
    <xf numFmtId="0" fontId="6" fillId="5" borderId="27" xfId="0" applyFont="1" applyFill="1" applyBorder="1" applyAlignment="1">
      <alignment horizontal="center" vertical="center" wrapText="1" readingOrder="2"/>
    </xf>
    <xf numFmtId="0" fontId="6" fillId="5" borderId="28" xfId="0" applyFont="1" applyFill="1" applyBorder="1" applyAlignment="1">
      <alignment horizontal="center" vertical="center" wrapText="1" readingOrder="2"/>
    </xf>
    <xf numFmtId="0" fontId="3" fillId="0" borderId="29" xfId="0" applyFont="1" applyBorder="1" applyAlignment="1">
      <alignment horizontal="center" vertical="center" wrapText="1"/>
    </xf>
    <xf numFmtId="10" fontId="3" fillId="0" borderId="30" xfId="1" applyNumberFormat="1" applyFont="1" applyFill="1" applyBorder="1" applyAlignment="1">
      <alignment horizontal="center" vertical="center" wrapText="1" readingOrder="2"/>
    </xf>
    <xf numFmtId="165" fontId="8" fillId="0" borderId="31" xfId="1" applyNumberFormat="1" applyFont="1" applyFill="1" applyBorder="1" applyAlignment="1">
      <alignment horizontal="center" vertical="center" wrapText="1" readingOrder="2"/>
    </xf>
    <xf numFmtId="0" fontId="10" fillId="6" borderId="32" xfId="0" applyFont="1" applyFill="1" applyBorder="1" applyAlignment="1">
      <alignment horizontal="center" vertical="center" wrapText="1" readingOrder="2"/>
    </xf>
    <xf numFmtId="0" fontId="11" fillId="0" borderId="33" xfId="0" applyFont="1" applyBorder="1" applyAlignment="1">
      <alignment horizontal="center" vertical="center" wrapText="1" readingOrder="2"/>
    </xf>
    <xf numFmtId="0" fontId="12" fillId="0" borderId="33" xfId="0" applyFont="1" applyBorder="1" applyAlignment="1">
      <alignment horizontal="right" vertical="center" wrapText="1" readingOrder="2"/>
    </xf>
    <xf numFmtId="0" fontId="11" fillId="0" borderId="33" xfId="0" applyFont="1" applyBorder="1" applyAlignment="1">
      <alignment horizontal="right" vertical="center" wrapText="1" readingOrder="2"/>
    </xf>
    <xf numFmtId="0" fontId="12" fillId="0" borderId="34" xfId="0" applyFont="1" applyBorder="1" applyAlignment="1">
      <alignment horizontal="right" vertical="center" wrapText="1" readingOrder="2"/>
    </xf>
    <xf numFmtId="0" fontId="12" fillId="0" borderId="33" xfId="0" applyFont="1" applyBorder="1" applyAlignment="1">
      <alignment horizontal="center" vertical="center" wrapText="1" readingOrder="2"/>
    </xf>
    <xf numFmtId="0" fontId="6" fillId="5" borderId="29" xfId="0" applyFont="1" applyFill="1" applyBorder="1" applyAlignment="1">
      <alignment horizontal="center" vertical="center" wrapText="1" readingOrder="2"/>
    </xf>
    <xf numFmtId="10" fontId="3" fillId="0" borderId="29" xfId="1" applyNumberFormat="1" applyFont="1" applyFill="1" applyBorder="1" applyAlignment="1">
      <alignment horizontal="center" vertical="center" wrapText="1" readingOrder="2"/>
    </xf>
    <xf numFmtId="165" fontId="8" fillId="0" borderId="29" xfId="1" applyNumberFormat="1" applyFont="1" applyFill="1" applyBorder="1" applyAlignment="1">
      <alignment horizontal="center" vertical="center" wrapText="1" readingOrder="2"/>
    </xf>
    <xf numFmtId="0" fontId="14" fillId="5" borderId="12" xfId="0" applyFont="1" applyFill="1" applyBorder="1"/>
    <xf numFmtId="0" fontId="14" fillId="5" borderId="12" xfId="0" applyFont="1" applyFill="1" applyBorder="1" applyAlignment="1">
      <alignment horizontal="right"/>
    </xf>
    <xf numFmtId="0" fontId="0" fillId="0" borderId="12" xfId="0" applyBorder="1" applyAlignment="1">
      <alignment vertical="center"/>
    </xf>
    <xf numFmtId="0" fontId="5" fillId="4" borderId="6" xfId="0" applyFont="1" applyFill="1" applyBorder="1" applyAlignment="1">
      <alignment horizontal="center" wrapText="1"/>
    </xf>
    <xf numFmtId="0" fontId="5" fillId="4" borderId="7" xfId="0" applyFont="1" applyFill="1" applyBorder="1" applyAlignment="1">
      <alignment horizontal="center" wrapText="1"/>
    </xf>
    <xf numFmtId="0" fontId="5" fillId="4" borderId="8" xfId="0" applyFont="1" applyFill="1" applyBorder="1" applyAlignment="1">
      <alignment horizontal="center" wrapText="1"/>
    </xf>
    <xf numFmtId="0" fontId="9" fillId="2" borderId="17" xfId="0" applyFont="1" applyFill="1" applyBorder="1" applyAlignment="1">
      <alignment horizontal="center"/>
    </xf>
    <xf numFmtId="0" fontId="5" fillId="4" borderId="2" xfId="0" applyFont="1" applyFill="1" applyBorder="1" applyAlignment="1">
      <alignment horizontal="center" wrapText="1"/>
    </xf>
    <xf numFmtId="0" fontId="5" fillId="4" borderId="3" xfId="0" applyFont="1" applyFill="1" applyBorder="1" applyAlignment="1">
      <alignment horizontal="center" wrapText="1"/>
    </xf>
    <xf numFmtId="0" fontId="5" fillId="4" borderId="4" xfId="0" applyFont="1" applyFill="1" applyBorder="1" applyAlignment="1">
      <alignment horizontal="center" wrapText="1"/>
    </xf>
    <xf numFmtId="0" fontId="9" fillId="2" borderId="29" xfId="0" applyFont="1" applyFill="1" applyBorder="1" applyAlignment="1">
      <alignment horizontal="center"/>
    </xf>
    <xf numFmtId="0" fontId="0" fillId="0" borderId="0" xfId="0" applyAlignment="1">
      <alignment horizontal="center" wrapText="1"/>
    </xf>
    <xf numFmtId="0" fontId="9" fillId="2" borderId="17" xfId="0" applyFont="1" applyFill="1" applyBorder="1" applyAlignment="1">
      <alignment horizontal="center" readingOrder="2"/>
    </xf>
    <xf numFmtId="0" fontId="2" fillId="3" borderId="0" xfId="0" applyFont="1" applyFill="1" applyAlignment="1">
      <alignment horizontal="center" wrapText="1"/>
    </xf>
    <xf numFmtId="0" fontId="0" fillId="2" borderId="0" xfId="0" applyFill="1" applyAlignment="1">
      <alignment wrapText="1"/>
    </xf>
    <xf numFmtId="0" fontId="0" fillId="0" borderId="0" xfId="0" applyAlignment="1">
      <alignment horizontal="center" vertical="center"/>
    </xf>
    <xf numFmtId="0" fontId="8" fillId="7" borderId="35" xfId="3" applyFont="1" applyFill="1" applyBorder="1" applyAlignment="1">
      <alignment horizontal="center" vertical="center" wrapText="1" readingOrder="2"/>
    </xf>
    <xf numFmtId="0" fontId="0" fillId="0" borderId="12" xfId="0" applyBorder="1" applyAlignment="1">
      <alignment wrapText="1"/>
    </xf>
    <xf numFmtId="14" fontId="0" fillId="0" borderId="12" xfId="0" applyNumberFormat="1" applyBorder="1" applyAlignment="1">
      <alignment horizontal="center" vertical="center"/>
    </xf>
  </cellXfs>
  <cellStyles count="4">
    <cellStyle name="Normal" xfId="0" builtinId="0"/>
    <cellStyle name="Normal 2" xfId="3" xr:uid="{CD0E8E17-D3C6-428E-85BE-99D47B14472F}"/>
    <cellStyle name="Normal 3" xfId="2" xr:uid="{277FB5A9-7BE3-4E28-A6F4-099B5B9978EB}"/>
    <cellStyle name="Percent" xfId="1" builtinId="5"/>
  </cellStyles>
  <dxfs count="873">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524A1846-44A6-4E1A-9243-A1F481DE1C3F}" name="Table199" displayName="Table199" ref="A4:F17" totalsRowShown="0" headerRowDxfId="872" headerRowBorderDxfId="871" tableBorderDxfId="870">
  <tableColumns count="6">
    <tableColumn id="1" xr3:uid="{796B4589-BA24-4559-9739-C1E6FDBB611D}" name="אפיק" dataDxfId="869"/>
    <tableColumn id="2" xr3:uid="{B0F994D7-ADCC-4AA9-BA0F-D70C0D2F6010}" name="שיעור חשיפה עדכני" dataDxfId="868" dataCellStyle="Percent"/>
    <tableColumn id="3" xr3:uid="{E90F121A-9941-4C4C-82F6-CFAD5DEFB6AC}" name="שיעור חשיפה צפוי בשנת 2026" dataDxfId="867" dataCellStyle="Percent"/>
    <tableColumn id="4" xr3:uid="{5CABF5AD-5E72-48D1-92E8-244061C521D6}" name="טווח סטייה מותר" dataDxfId="866"/>
    <tableColumn id="5" xr3:uid="{C9CA43F4-5A70-4761-821B-4245F2498FB7}" name="גבולות שיעור החשיפה הצפויה" dataDxfId="865"/>
    <tableColumn id="6" xr3:uid="{223DF1AE-3CFA-4AAD-B17F-8611E9EF4031}" name="מדדי ייחוס" dataDxfId="864"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4ECE86B8-FDEF-4058-9498-3E9AD1660F31}" name="Table2100" displayName="Table2100" ref="A21:F34" totalsRowShown="0" headerRowDxfId="863" headerRowBorderDxfId="862" tableBorderDxfId="861">
  <tableColumns count="6">
    <tableColumn id="1" xr3:uid="{9713C590-3B56-49E9-B797-2FB49F6357A2}" name="אפיק" dataDxfId="860"/>
    <tableColumn id="2" xr3:uid="{875E529E-2158-4505-B268-C1C2CB049C1B}" name="שיעור חשיפה עדכני" dataDxfId="859" dataCellStyle="Percent"/>
    <tableColumn id="3" xr3:uid="{C8B15D65-ADA5-4DB6-B8EB-6922D2400708}" name="שיעור חשיפה צפוי בשנת 2026" dataDxfId="858" dataCellStyle="Percent"/>
    <tableColumn id="4" xr3:uid="{61DF0531-0431-4B2F-B696-E8B6803903D7}" name="טווח סטייה מותר" dataDxfId="857"/>
    <tableColumn id="5" xr3:uid="{353774B9-299B-42FF-9DB1-18D003A2B4EA}" name="גבולות שיעור החשיפה הצפויה" dataDxfId="856"/>
    <tableColumn id="6" xr3:uid="{AFAED685-F3BE-4F78-8486-125E2ABC101D}" name="מדדי ייחוס" dataDxfId="855"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75870903-74E2-4228-A43D-17C9B9DD859D}" name="Table3101" displayName="Table3101" ref="A38:F50" totalsRowShown="0" headerRowDxfId="854" headerRowBorderDxfId="853" tableBorderDxfId="852">
  <tableColumns count="6">
    <tableColumn id="1" xr3:uid="{E953772B-8FAE-4575-836B-9C9CC808277E}" name="אפיק" dataDxfId="851"/>
    <tableColumn id="2" xr3:uid="{B735B72C-E3E5-4E76-B835-9C4313F0EFF3}" name="שיעור חשיפה עדכני" dataDxfId="850" dataCellStyle="Percent"/>
    <tableColumn id="3" xr3:uid="{EF7EE191-AAD0-489E-A2FC-38A42B30BA42}" name="שיעור חשיפה צפוי בשנת 2026" dataDxfId="849" dataCellStyle="Percent"/>
    <tableColumn id="4" xr3:uid="{9F4A55D7-12AA-4AF7-A560-09F719A6C3CB}" name="טווח סטייה מותר" dataDxfId="848"/>
    <tableColumn id="5" xr3:uid="{A3397EAE-A861-4BC8-905B-2E03FB4AE120}" name="גבולות שיעור החשיפה הצפויה" dataDxfId="847"/>
    <tableColumn id="6" xr3:uid="{E393D82D-265D-4116-B632-91E40F5E6120}" name="מדדי ייחוס" dataDxfId="846"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BD1571EE-BD90-4B4C-A93F-876EA0BB515D}" name="Table4102" displayName="Table4102" ref="A54:F65" totalsRowShown="0" headerRowDxfId="845" headerRowBorderDxfId="844" tableBorderDxfId="843">
  <tableColumns count="6">
    <tableColumn id="1" xr3:uid="{8E2071EA-CBC4-4C38-8CE2-3EBAE0BBA117}" name="אפיק" dataDxfId="842"/>
    <tableColumn id="2" xr3:uid="{0FB3DAE1-0CA1-40FC-B42F-40E12BDCF5A3}" name="שיעור חשיפה עדכני" dataDxfId="841" dataCellStyle="Percent"/>
    <tableColumn id="3" xr3:uid="{27E17D15-6876-49E9-9444-137128322FE3}" name="שיעור חשיפה צפוי בשנת 2026" dataDxfId="840" dataCellStyle="Percent"/>
    <tableColumn id="4" xr3:uid="{AA2EB0C0-907E-4169-ACA5-3204B56CBA01}" name="טווח סטייה מותר" dataDxfId="839"/>
    <tableColumn id="5" xr3:uid="{004F3393-35C1-45AA-BCF6-817E2E7174B0}" name="גבולות שיעור החשיפה הצפויה" dataDxfId="838"/>
    <tableColumn id="6" xr3:uid="{B05A57A2-6C33-4A13-8069-4D982CEB0658}" name="מדדי ייחוס" dataDxfId="837" dataCellStyle="Normal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3D369571-8F5F-40D1-8831-FD4003BA8C38}" name="Table5103" displayName="Table5103" ref="A69:F81" totalsRowShown="0" headerRowDxfId="836" headerRowBorderDxfId="835" tableBorderDxfId="834">
  <tableColumns count="6">
    <tableColumn id="1" xr3:uid="{8A4FD8DE-5D90-4822-997E-AB9793F2BE22}" name="אפיק" dataDxfId="833"/>
    <tableColumn id="2" xr3:uid="{1CA6F150-D06E-4980-B845-CFE9E173036D}" name="שיעור חשיפה עדכני" dataDxfId="832" dataCellStyle="Percent"/>
    <tableColumn id="3" xr3:uid="{05C1493B-04E2-4701-9F8C-B3C5DFA7620B}" name="שיעור חשיפה צפוי בשנת 2026" dataDxfId="831" dataCellStyle="Percent"/>
    <tableColumn id="4" xr3:uid="{EAD73A23-7460-4D13-BADB-196AE3661D5C}" name="טווח סטייה מותר" dataDxfId="830"/>
    <tableColumn id="5" xr3:uid="{3F5E09F0-6C56-4999-A020-4B21DDB1196B}" name="גבולות שיעור החשיפה הצפויה" dataDxfId="829"/>
    <tableColumn id="6" xr3:uid="{FAF4131F-5E04-48B0-AD8C-BBF59D1C4F35}" name="מדדי ייחוס" dataDxfId="828" dataCellStyle="Normal 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1F6D237-0AA0-486A-9358-C29CAA830357}" name="Table6104" displayName="Table6104" ref="A85:F94" totalsRowShown="0" headerRowDxfId="827" headerRowBorderDxfId="826" tableBorderDxfId="825">
  <tableColumns count="6">
    <tableColumn id="1" xr3:uid="{AD734923-EE15-4F8D-B36C-19C77061386A}" name="אפיק" dataDxfId="824"/>
    <tableColumn id="2" xr3:uid="{A5DAE89C-5871-4459-B974-8E745A6BFE79}" name="שיעור חשיפה עדכני" dataDxfId="823" dataCellStyle="Percent"/>
    <tableColumn id="3" xr3:uid="{12E9BCAF-3D5B-4360-9861-4AD9383C28B7}" name="שיעור חשיפה צפוי בשנת 2026" dataDxfId="822" dataCellStyle="Percent"/>
    <tableColumn id="4" xr3:uid="{7425CF49-D363-47C2-8CEB-4014436840EC}" name="טווח סטייה מותר" dataDxfId="821"/>
    <tableColumn id="5" xr3:uid="{5927D09E-2582-4571-B20B-67029B66BF7C}" name="גבולות שיעור החשיפה הצפויה" dataDxfId="820"/>
    <tableColumn id="6" xr3:uid="{F10C0C5C-BB08-4405-B51B-8994BE2AD8F1}" name="מדדי ייחוס" dataDxfId="819" dataCellStyle="Normal 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6E7EF650-4A49-4F99-A6A2-B5C5E5EE1BBF}" name="Table7105" displayName="Table7105" ref="A98:F108" totalsRowShown="0" headerRowDxfId="818" headerRowBorderDxfId="817" tableBorderDxfId="816">
  <tableColumns count="6">
    <tableColumn id="1" xr3:uid="{C4CAF3B9-A935-4E65-B0A6-C1490CDE3435}" name="אפיק" dataDxfId="815"/>
    <tableColumn id="2" xr3:uid="{2ED8129A-1921-4C64-ABEC-09C0EE5B66D6}" name="שיעור חשיפה עדכני" dataDxfId="814" dataCellStyle="Percent"/>
    <tableColumn id="3" xr3:uid="{205D2780-F192-4A98-AE2A-0D0658000430}" name="שיעור חשיפה צפוי בשנת 2026" dataDxfId="813" dataCellStyle="Percent"/>
    <tableColumn id="4" xr3:uid="{711F57EC-957D-4E47-8F3A-789600B43291}" name="טווח סטייה מותר" dataDxfId="812"/>
    <tableColumn id="5" xr3:uid="{9C23E551-475C-4B09-8785-6D64C0F3735E}" name="גבולות שיעור החשיפה הצפויה" dataDxfId="811"/>
    <tableColumn id="6" xr3:uid="{46B4C485-E484-4957-AC3B-B25C265E2FB2}" name="מדדי ייחוס" dataDxfId="810" dataCellStyle="Normal 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4A506B53-4A0C-40B6-9C19-1DFEBCFC9450}" name="Table8106" displayName="Table8106" ref="A112:F125" totalsRowShown="0" headerRowDxfId="809" headerRowBorderDxfId="808" tableBorderDxfId="807">
  <tableColumns count="6">
    <tableColumn id="1" xr3:uid="{9CA3B907-A3D1-4486-B560-61F0F730D310}" name="אפיק" dataDxfId="806"/>
    <tableColumn id="2" xr3:uid="{45D1D0BA-FDAF-4E00-9E1D-EF91ADAF54DD}" name="שיעור חשיפה עדכני" dataDxfId="805" dataCellStyle="Percent"/>
    <tableColumn id="3" xr3:uid="{6B46A31C-1FF3-4240-9671-AE595786E20A}" name="שיעור חשיפה צפוי בשנת 2026" dataDxfId="804" dataCellStyle="Percent"/>
    <tableColumn id="4" xr3:uid="{AFF30AC1-7934-436D-A968-08D39D12AA4F}" name="טווח סטייה מותר" dataDxfId="803"/>
    <tableColumn id="5" xr3:uid="{C78C88C0-925A-428C-8E7D-FBAB2A07B2AB}" name="גבולות שיעור החשיפה הצפויה" dataDxfId="802"/>
    <tableColumn id="6" xr3:uid="{21DF88F9-6F6C-4D8D-9F1F-266895ABF127}" name="מדדי ייחוס" dataDxfId="801" dataCellStyle="Normal 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CAE6214D-3F04-4014-B159-097187D2F727}" name="Table9107" displayName="Table9107" ref="A129:F142" totalsRowShown="0" headerRowDxfId="800" headerRowBorderDxfId="799" tableBorderDxfId="798">
  <tableColumns count="6">
    <tableColumn id="1" xr3:uid="{951252CF-3068-4CB5-9E5A-AD9240661F08}" name="אפיק" dataDxfId="797"/>
    <tableColumn id="2" xr3:uid="{F702AE29-63EC-4D6B-871B-ECF395B7E3C5}" name="שיעור חשיפה עדכני" dataDxfId="796" dataCellStyle="Percent"/>
    <tableColumn id="3" xr3:uid="{B01FCC4E-6D33-4693-A78E-617535DACC0E}" name="שיעור חשיפה צפוי בשנת 2026" dataDxfId="795" dataCellStyle="Percent"/>
    <tableColumn id="4" xr3:uid="{057E4105-700E-4AD5-8A6F-A97965FDD784}" name="טווח סטייה מותר" dataDxfId="794"/>
    <tableColumn id="5" xr3:uid="{B565E209-71B5-482F-96F1-08CE8102B440}" name="גבולות שיעור החשיפה הצפויה" dataDxfId="793"/>
    <tableColumn id="6" xr3:uid="{ECA82BB0-4C3B-40D5-9EB9-4C24D650A983}" name="מדדי ייחוס" dataDxfId="792" dataCellStyle="Normal 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6C6A5FD-245E-4EF9-8DF2-7CFE5E3C8F89}" name="Table10108" displayName="Table10108" ref="A146:F157" totalsRowShown="0" headerRowDxfId="791" headerRowBorderDxfId="790" tableBorderDxfId="789">
  <tableColumns count="6">
    <tableColumn id="1" xr3:uid="{063A8715-A500-41E2-B5AA-99F52A42A1C5}" name="אפיק" dataDxfId="788"/>
    <tableColumn id="2" xr3:uid="{018C1172-A45F-4DC0-A41A-7D51D121E3FF}" name="שיעור חשיפה עדכני" dataDxfId="787" dataCellStyle="Percent"/>
    <tableColumn id="3" xr3:uid="{BE656187-EEF8-411B-823B-CDB0949E14BC}" name="שיעור חשיפה צפוי בשנת 2026" dataDxfId="786" dataCellStyle="Percent"/>
    <tableColumn id="4" xr3:uid="{1143362A-DA32-47E8-9020-426D42B541A5}" name="טווח סטייה מותר" dataDxfId="785"/>
    <tableColumn id="5" xr3:uid="{2DA73D51-D749-49BE-8CA1-8D067AF4437F}" name="גבולות שיעור החשיפה הצפויה" dataDxfId="784"/>
    <tableColumn id="6" xr3:uid="{C056F2AD-458F-42EE-A01E-DE44AC7E7062}" name="מדדי ייחוס" dataDxfId="783" dataCellStyle="Normal 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860C2DAD-A5A1-4920-A578-ECC6F5708DDC}" name="Table11109" displayName="Table11109" ref="A161:F175" totalsRowShown="0" headerRowDxfId="782" headerRowBorderDxfId="781" tableBorderDxfId="780">
  <tableColumns count="6">
    <tableColumn id="1" xr3:uid="{67107B67-067D-4D7D-86A1-6711538F1476}" name="אפיק" dataDxfId="779"/>
    <tableColumn id="2" xr3:uid="{FE7C9157-AABA-4236-BBF0-726C9A7F7489}" name="שיעור חשיפה עדכני" dataDxfId="778" dataCellStyle="Percent"/>
    <tableColumn id="3" xr3:uid="{52C22A07-E0FC-4260-91F4-F4EA4A72C40A}" name="שיעור חשיפה צפוי בשנת 2026" dataDxfId="777" dataCellStyle="Percent"/>
    <tableColumn id="4" xr3:uid="{76CA44C1-318A-41B1-845C-021DFA32BAEC}" name="טווח סטייה מותר" dataDxfId="776"/>
    <tableColumn id="5" xr3:uid="{258219CD-D363-4AAD-A871-F57CAD8A7A10}" name="גבולות שיעור החשיפה הצפויה" dataDxfId="775"/>
    <tableColumn id="6" xr3:uid="{E4D106DF-C0D5-40F8-92A0-2690B27CFDD5}" name="מדדי ייחוס" dataDxfId="774" dataCellStyle="Normal 2"/>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E0DBCDA4-C769-4036-A266-0380F459DFFC}" name="Table13110" displayName="Table13110" ref="A179:F191" totalsRowShown="0" headerRowDxfId="773" headerRowBorderDxfId="772" tableBorderDxfId="771">
  <tableColumns count="6">
    <tableColumn id="1" xr3:uid="{95208FDC-AF30-409B-8A8F-BBC40F863BF0}" name="אפיק" dataDxfId="770"/>
    <tableColumn id="2" xr3:uid="{98F5CBCF-C672-4D92-B006-6188AAE42261}" name="שיעור חשיפה עדכני" dataDxfId="769" dataCellStyle="Percent"/>
    <tableColumn id="3" xr3:uid="{6DE4F2C0-676B-477F-913E-A89C3600454D}" name="שיעור חשיפה צפוי בשנת 2026" dataDxfId="768" dataCellStyle="Percent"/>
    <tableColumn id="4" xr3:uid="{38113DA6-43D4-4AD0-BC43-99D385257073}" name="טווח סטייה מותר" dataDxfId="767"/>
    <tableColumn id="5" xr3:uid="{A0EF9D1E-FC36-4A63-A961-FDE4E121E5BB}" name="גבולות שיעור החשיפה הצפויה" dataDxfId="766"/>
    <tableColumn id="6" xr3:uid="{FCF35F87-1014-4F88-B4BD-D0C5B07DD9FE}" name="מדדי ייחוס" dataDxfId="765" dataCellStyle="Normal 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A0C1D530-1759-4CDA-AA49-CC736AABBA60}" name="Table14111" displayName="Table14111" ref="A195:F208" totalsRowShown="0" headerRowDxfId="764" headerRowBorderDxfId="763" tableBorderDxfId="762">
  <tableColumns count="6">
    <tableColumn id="1" xr3:uid="{F60EEA91-8C75-4F52-9F9F-482707A5D92F}" name="אפיק" dataDxfId="761"/>
    <tableColumn id="2" xr3:uid="{2AF82D35-837E-435F-80E7-12EC3E7232DA}" name="שיעור חשיפה עדכני" dataDxfId="760" dataCellStyle="Percent"/>
    <tableColumn id="3" xr3:uid="{C5B25AED-069D-4A85-AAF1-3D019F3BE334}" name="שיעור חשיפה צפוי בשנת 2026" dataDxfId="759" dataCellStyle="Percent"/>
    <tableColumn id="4" xr3:uid="{26AA7B2C-C81E-40C8-80AF-4B9B6BBA9D92}" name="טווח סטייה מותר" dataDxfId="758"/>
    <tableColumn id="5" xr3:uid="{B4218F48-4E18-475C-BA04-A1AC2AF0F1CC}" name="גבולות שיעור החשיפה הצפויה" dataDxfId="757"/>
    <tableColumn id="6" xr3:uid="{A68599C6-C86E-4665-8163-2184233903BC}" name="מדדי ייחוס" dataDxfId="756" dataCellStyle="Normal 2"/>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8084F39-F173-452D-B693-6FA3451654B4}" name="Table15112" displayName="Table15112" ref="A212:F225" totalsRowShown="0" headerRowDxfId="755" headerRowBorderDxfId="754" tableBorderDxfId="753">
  <tableColumns count="6">
    <tableColumn id="1" xr3:uid="{70D43A0E-BE30-4A97-8857-201527A73039}" name="אפיק" dataDxfId="752"/>
    <tableColumn id="2" xr3:uid="{7D8FB01F-5D24-49B4-AE75-1203CF1FB8A8}" name="שיעור חשיפה עדכני" dataDxfId="751" dataCellStyle="Percent"/>
    <tableColumn id="3" xr3:uid="{A962465D-9F93-45AB-AB4E-101192572293}" name="שיעור חשיפה צפוי בשנת 2026" dataDxfId="750" dataCellStyle="Percent"/>
    <tableColumn id="4" xr3:uid="{D9C34739-8B37-454A-8B73-7BE18EDA4605}" name="טווח סטייה מותר" dataDxfId="749"/>
    <tableColumn id="5" xr3:uid="{25CC54F8-D214-4203-B2D0-A669A8258153}" name="גבולות שיעור החשיפה הצפויה" dataDxfId="748"/>
    <tableColumn id="6" xr3:uid="{74C5EC19-E6C5-4F73-8D69-360ACFC2765B}" name="מדדי ייחוס" dataDxfId="747" dataCellStyle="Normal 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EBC5AC35-4332-4886-BF08-E7F0A9D653D4}" name="Table16113" displayName="Table16113" ref="A229:F242" totalsRowShown="0" headerRowDxfId="746" headerRowBorderDxfId="745" tableBorderDxfId="744">
  <tableColumns count="6">
    <tableColumn id="1" xr3:uid="{933C87E6-0A76-4CB3-9577-00FB06C4BB4E}" name="אפיק" dataDxfId="743"/>
    <tableColumn id="2" xr3:uid="{77897051-47A2-478B-8E81-23F40A315102}" name="שיעור חשיפה עדכני" dataDxfId="742" dataCellStyle="Percent"/>
    <tableColumn id="3" xr3:uid="{BB17A9DB-B41B-461A-9F59-146E971D8110}" name="שיעור חשיפה צפוי בשנת 2026" dataDxfId="741" dataCellStyle="Percent"/>
    <tableColumn id="4" xr3:uid="{5BF61C19-3E9E-4715-BA85-6484B3FE6D12}" name="טווח סטייה מותר" dataDxfId="740"/>
    <tableColumn id="5" xr3:uid="{C0FB2CC0-687F-4E5F-B33E-8DC4BDEECB65}" name="גבולות שיעור החשיפה הצפויה" dataDxfId="739"/>
    <tableColumn id="6" xr3:uid="{588C483A-DCF2-4EF2-BD93-CB3F14333A62}" name="מדדי ייחוס" dataDxfId="738" dataCellStyle="Normal 2"/>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9882611F-0CA3-490D-99C1-7A3A14497AB1}" name="Table17114" displayName="Table17114" ref="A246:F257" totalsRowShown="0" headerRowDxfId="737" headerRowBorderDxfId="736" tableBorderDxfId="735">
  <tableColumns count="6">
    <tableColumn id="1" xr3:uid="{7015B891-DC9F-448E-A82F-DABCCE1F0576}" name="אפיק" dataDxfId="734"/>
    <tableColumn id="2" xr3:uid="{CE97EF03-B79E-4FA1-ABD6-D116720E715D}" name="שיעור חשיפה עדכני" dataDxfId="733" dataCellStyle="Percent"/>
    <tableColumn id="3" xr3:uid="{689C00A3-A18B-4979-8822-2D52A4D3ECAE}" name="שיעור חשיפה צפוי בשנת 2026" dataDxfId="732" dataCellStyle="Percent"/>
    <tableColumn id="4" xr3:uid="{E32253DD-7671-4233-A4CD-7A558EDE6C26}" name="טווח סטייה מותר" dataDxfId="731"/>
    <tableColumn id="5" xr3:uid="{C5346FDB-04AB-4748-9DB1-9F6B394A8403}" name="גבולות שיעור החשיפה הצפויה" dataDxfId="730"/>
    <tableColumn id="6" xr3:uid="{996E43E8-4C90-48E0-AD4C-133A3E10F59B}" name="מדדי ייחוס" dataDxfId="729" dataCellStyle="Normal 2"/>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EDCD771-7358-40C6-A962-B3B52976B193}" name="Table18115" displayName="Table18115" ref="A261:F273" totalsRowShown="0" headerRowDxfId="728" headerRowBorderDxfId="727" tableBorderDxfId="726">
  <tableColumns count="6">
    <tableColumn id="1" xr3:uid="{525D9AA0-5D6B-4186-A96B-6111C2B92ABF}" name="אפיק" dataDxfId="725"/>
    <tableColumn id="2" xr3:uid="{E9A53DCE-ACA7-4709-A2C4-2D68EDD44501}" name="שיעור חשיפה עדכני" dataDxfId="724" dataCellStyle="Percent"/>
    <tableColumn id="3" xr3:uid="{02BC33C5-7045-4094-8359-669133F96BA3}" name="שיעור חשיפה צפוי בשנת 2026" dataDxfId="723" dataCellStyle="Percent"/>
    <tableColumn id="4" xr3:uid="{C5543EA6-724B-47F7-9AFD-95EFD32B4AE9}" name="טווח סטייה מותר" dataDxfId="722"/>
    <tableColumn id="5" xr3:uid="{AD963CF3-B70E-48A8-BE83-35148302A7D2}" name="גבולות שיעור החשיפה הצפויה" dataDxfId="721"/>
    <tableColumn id="6" xr3:uid="{3D90A271-6A22-4000-A9F4-83D2F86B28DF}" name="מדדי ייחוס" dataDxfId="720" dataCellStyle="Normal 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C74E8DAC-F0BA-4C6A-BFC3-801350DF85B1}" name="Table19116" displayName="Table19116" ref="A277:F285" totalsRowShown="0" headerRowDxfId="719" headerRowBorderDxfId="718" tableBorderDxfId="717">
  <tableColumns count="6">
    <tableColumn id="1" xr3:uid="{3BF0C2D2-2DC5-4199-9AB3-DF54B9430528}" name="אפיק" dataDxfId="716"/>
    <tableColumn id="2" xr3:uid="{6B674421-6654-457D-93DF-FB10B3243774}" name="שיעור חשיפה עדכני" dataDxfId="715" dataCellStyle="Percent"/>
    <tableColumn id="3" xr3:uid="{A25C2892-D7CC-4B3C-B1C5-0D6639315ACA}" name="שיעור חשיפה צפוי בשנת 2026" dataDxfId="714" dataCellStyle="Percent"/>
    <tableColumn id="4" xr3:uid="{BDFA0290-5F5E-4F71-AEB6-2FDE24458E8B}" name="טווח סטייה מותר" dataDxfId="713"/>
    <tableColumn id="5" xr3:uid="{E2564A2E-023B-4A29-A62A-E44277084979}" name="גבולות שיעור החשיפה הצפויה" dataDxfId="712"/>
    <tableColumn id="6" xr3:uid="{77C19970-1D70-4663-9712-F7CE63061C96}" name="מדדי ייחוס" dataDxfId="711" dataCellStyle="Normal 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9E3EC8F8-B4D2-4B6E-B65A-1244426CAEE2}" name="Table20117" displayName="Table20117" ref="A289:F300" totalsRowShown="0" headerRowDxfId="710" headerRowBorderDxfId="709" tableBorderDxfId="708">
  <tableColumns count="6">
    <tableColumn id="1" xr3:uid="{32408173-4D9E-4BC2-ABC7-BD1869EC7892}" name="אפיק" dataDxfId="707"/>
    <tableColumn id="2" xr3:uid="{2C05FA72-6C3F-48F0-A651-6796B69C511C}" name="שיעור חשיפה עדכני" dataDxfId="706" dataCellStyle="Percent"/>
    <tableColumn id="3" xr3:uid="{1D7A4785-B446-4E6C-BD00-8A1CF403B5A6}" name="שיעור חשיפה צפוי בשנת 2026" dataDxfId="705" dataCellStyle="Percent"/>
    <tableColumn id="4" xr3:uid="{2409A6B1-7FCC-47DB-BC0B-EB79A52E255E}" name="טווח סטייה מותר" dataDxfId="704"/>
    <tableColumn id="5" xr3:uid="{1C76BE88-06C6-45F8-B046-1FF8882D9C10}" name="גבולות שיעור החשיפה הצפויה" dataDxfId="703"/>
    <tableColumn id="6" xr3:uid="{67B01EC0-0908-4144-A088-E99EBD1749C6}" name="מדדי ייחוס" dataDxfId="702" dataCellStyle="Normal 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A7E9C552-8EAD-4598-8C77-71157DFDAEE2}" name="Table21118" displayName="Table21118" ref="A304:F314" totalsRowShown="0" headerRowDxfId="701" headerRowBorderDxfId="700" tableBorderDxfId="699">
  <tableColumns count="6">
    <tableColumn id="1" xr3:uid="{ACE4726F-074F-4D57-91A8-0D7BD33AA964}" name="אפיק" dataDxfId="698"/>
    <tableColumn id="2" xr3:uid="{257BBD91-8907-45A8-B3B8-EB890BD77DD3}" name="שיעור חשיפה עדכני" dataDxfId="697" dataCellStyle="Percent"/>
    <tableColumn id="3" xr3:uid="{95F7EB96-B604-4B27-884F-A45E9CB37106}" name="שיעור חשיפה צפוי בשנת 2026" dataDxfId="696" dataCellStyle="Percent"/>
    <tableColumn id="4" xr3:uid="{57D83479-DA75-463D-9BE7-27498CB8C4B6}" name="טווח סטייה מותר" dataDxfId="695"/>
    <tableColumn id="5" xr3:uid="{D8EE4698-AFD7-4B8E-8FED-079E766D95FC}" name="גבולות שיעור החשיפה הצפויה" dataDxfId="694"/>
    <tableColumn id="6" xr3:uid="{EAA03267-F011-45E9-84D1-E1D4F89B7A6B}" name="מדדי ייחוס" dataDxfId="693" dataCellStyle="Normal 2"/>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014C1FE0-2216-46C2-BE81-69B9DEDC8EEA}" name="Table22119" displayName="Table22119" ref="A318:F328" totalsRowShown="0" headerRowDxfId="692" headerRowBorderDxfId="691" tableBorderDxfId="690">
  <tableColumns count="6">
    <tableColumn id="1" xr3:uid="{1985E0E0-BD84-4480-9C95-E78792D6B71E}" name="אפיק" dataDxfId="689"/>
    <tableColumn id="2" xr3:uid="{CDE80CA1-C928-4D70-A726-B269B2345621}" name="שיעור חשיפה עדכני" dataDxfId="688" dataCellStyle="Percent"/>
    <tableColumn id="3" xr3:uid="{1955BEF9-8861-4C76-8D48-4BCFC9A07B81}" name="שיעור חשיפה צפוי בשנת 2026" dataDxfId="687" dataCellStyle="Percent"/>
    <tableColumn id="4" xr3:uid="{0AC6B214-5C15-40E2-9266-683CA7CBAC5D}" name="טווח סטייה מותר" dataDxfId="686"/>
    <tableColumn id="5" xr3:uid="{01860728-A71B-42ED-AEA7-2810D35EA3F9}" name="גבולות שיעור החשיפה הצפויה" dataDxfId="685"/>
    <tableColumn id="6" xr3:uid="{B82CBDD4-7BD0-448F-A0B0-49B48F089AEA}" name="מדדי ייחוס" dataDxfId="684" dataCellStyle="Normal 2"/>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0A1FE08D-CAF0-413F-981C-53A7A5F5B9D6}" name="Table23120" displayName="Table23120" ref="A332:F342" totalsRowShown="0" headerRowDxfId="683" headerRowBorderDxfId="682" tableBorderDxfId="681">
  <tableColumns count="6">
    <tableColumn id="1" xr3:uid="{C88264AB-F92A-4900-A8EE-D2F0F8C1B023}" name="אפיק" dataDxfId="680"/>
    <tableColumn id="2" xr3:uid="{CF2394BD-2F64-4AA0-872D-103EA8C7797C}" name="שיעור חשיפה עדכני" dataDxfId="679" dataCellStyle="Percent"/>
    <tableColumn id="3" xr3:uid="{4A506AAF-A6BD-4E8A-9DEC-D97B2EDE5D10}" name="שיעור חשיפה צפוי בשנת 2026" dataDxfId="678" dataCellStyle="Percent"/>
    <tableColumn id="4" xr3:uid="{C44F465A-C3AE-44D1-A92E-500512E169A7}" name="טווח סטייה מותר" dataDxfId="677"/>
    <tableColumn id="5" xr3:uid="{20AD3DBA-2123-4E41-AB57-E67446CBFE4C}" name="גבולות שיעור החשיפה הצפויה" dataDxfId="676"/>
    <tableColumn id="6" xr3:uid="{A977316B-0F28-4E97-B257-A34CCF62176C}" name="מדדי ייחוס" dataDxfId="675" dataCellStyle="Normal 2"/>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56A5F3E9-B591-4837-85D3-06C478D6B68C}" name="Table24121" displayName="Table24121" ref="A346:F355" totalsRowShown="0" headerRowDxfId="674" headerRowBorderDxfId="673" tableBorderDxfId="672">
  <tableColumns count="6">
    <tableColumn id="1" xr3:uid="{9FCBDB1E-22D3-441B-BA35-BAB88E300B77}" name="אפיק" dataDxfId="671"/>
    <tableColumn id="2" xr3:uid="{0E4B2F34-B730-4CE1-AA43-9CC999C48252}" name="שיעור חשיפה עדכני" dataDxfId="670" dataCellStyle="Percent"/>
    <tableColumn id="3" xr3:uid="{20463423-EAB9-4766-AC4E-4D591FDAAE5D}" name="שיעור חשיפה צפוי בשנת 2026" dataDxfId="669" dataCellStyle="Percent"/>
    <tableColumn id="4" xr3:uid="{F67B6C60-0473-4ACC-9887-884B6786C539}" name="טווח סטייה מותר" dataDxfId="668"/>
    <tableColumn id="5" xr3:uid="{F4B94B45-0583-41E9-A1A1-8ED02D616549}" name="גבולות שיעור החשיפה הצפויה" dataDxfId="667"/>
    <tableColumn id="6" xr3:uid="{9C6DCE85-B8A8-49B1-B2ED-C1FC2B67FC42}" name="מדדי ייחוס" dataDxfId="666" dataCellStyle="Normal 2"/>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12381AB7-F4CB-46BF-9E05-0C907056E3D6}" name="Table25122" displayName="Table25122" ref="A359:F367" totalsRowShown="0" headerRowDxfId="665" headerRowBorderDxfId="664" tableBorderDxfId="663">
  <tableColumns count="6">
    <tableColumn id="1" xr3:uid="{E2E5B1BE-4BF8-43B6-9B2F-44D5AEC243CF}" name="אפיק" dataDxfId="662"/>
    <tableColumn id="2" xr3:uid="{03C3F959-2772-4093-91D9-6A4B58EC4FE1}" name="שיעור חשיפה עדכני" dataDxfId="661" dataCellStyle="Percent"/>
    <tableColumn id="3" xr3:uid="{B25F07B6-A6C1-4551-8AF9-8B8DDFC9D12F}" name="שיעור חשיפה צפוי בשנת 2026" dataDxfId="660" dataCellStyle="Percent"/>
    <tableColumn id="4" xr3:uid="{A8434D5B-E3D3-42F2-8C48-4158805476FE}" name="טווח סטייה מותר" dataDxfId="659"/>
    <tableColumn id="5" xr3:uid="{8A206BB2-15AE-4B6C-B5D3-BD5F5DDAB7C6}" name="גבולות שיעור החשיפה הצפויה" dataDxfId="658"/>
    <tableColumn id="6" xr3:uid="{AF49E3AE-33AD-4B91-9854-4AD40F26A078}" name="מדדי ייחוס" dataDxfId="657" dataCellStyle="Normal 2"/>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809FFE2B-36DA-422A-A28F-AB09E300C1EB}" name="Table26123" displayName="Table26123" ref="A371:F381" totalsRowShown="0" headerRowDxfId="656" headerRowBorderDxfId="655" tableBorderDxfId="654">
  <tableColumns count="6">
    <tableColumn id="1" xr3:uid="{47D2FB0B-F276-4DD3-A06A-BABD55D9A761}" name="אפיק" dataDxfId="653"/>
    <tableColumn id="2" xr3:uid="{620C01A1-3FE8-4160-8939-0F6EC1B4FA34}" name="שיעור חשיפה עדכני" dataDxfId="652" dataCellStyle="Percent"/>
    <tableColumn id="3" xr3:uid="{1974000F-E0ED-461C-9055-09B5B3F72F04}" name="שיעור חשיפה צפוי בשנת 2026" dataDxfId="651" dataCellStyle="Percent"/>
    <tableColumn id="4" xr3:uid="{8DBC000A-9223-472D-A617-BF3E1AF3B877}" name="טווח סטייה מותר" dataDxfId="650"/>
    <tableColumn id="5" xr3:uid="{A293CC7C-55E6-43FA-BA83-103BDE64BDA1}" name="גבולות שיעור החשיפה הצפויה" dataDxfId="649"/>
    <tableColumn id="6" xr3:uid="{9ACB1F67-74D4-40F3-A52A-6CE9BD6B3614}" name="מדדי ייחוס" dataDxfId="648" dataCellStyle="Normal 2"/>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3F45064-07B1-4723-BB0C-2C502190BFB3}" name="Table27124" displayName="Table27124" ref="A385:F396" totalsRowShown="0" headerRowDxfId="647" headerRowBorderDxfId="646" tableBorderDxfId="645">
  <tableColumns count="6">
    <tableColumn id="1" xr3:uid="{697D5983-DC30-4369-B3A5-95D85E0235F4}" name="אפיק" dataDxfId="644"/>
    <tableColumn id="2" xr3:uid="{6854105F-D0E3-4428-98EF-93129819E969}" name="שיעור חשיפה עדכני" dataDxfId="643" dataCellStyle="Percent"/>
    <tableColumn id="3" xr3:uid="{7E5BBA72-5C65-4A94-8AA4-E178F11C43E4}" name="שיעור חשיפה צפוי בשנת 2026" dataDxfId="642" dataCellStyle="Percent"/>
    <tableColumn id="4" xr3:uid="{C734A946-A0BC-490D-974B-339ACF493D47}" name="טווח סטייה מותר" dataDxfId="641"/>
    <tableColumn id="5" xr3:uid="{477F9E78-CA43-45B6-A367-BD8277B7E1B3}" name="גבולות שיעור החשיפה הצפויה" dataDxfId="640"/>
    <tableColumn id="6" xr3:uid="{6C982DB9-5394-4CE4-AEA0-6EC0AB669C30}" name="מדדי ייחוס" dataDxfId="639" dataCellStyle="Normal 2"/>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E0CC64F8-D969-496B-8447-9730ABF6D910}" name="Table28125" displayName="Table28125" ref="A400:F412" totalsRowShown="0" headerRowDxfId="638" headerRowBorderDxfId="637" tableBorderDxfId="636">
  <tableColumns count="6">
    <tableColumn id="1" xr3:uid="{6E1AEE95-D52A-4658-BB99-316560F3CF45}" name="אפיק" dataDxfId="635"/>
    <tableColumn id="2" xr3:uid="{3E319280-A2AB-46DB-920B-795ED3406D32}" name="שיעור חשיפה עדכני" dataDxfId="634" dataCellStyle="Percent"/>
    <tableColumn id="3" xr3:uid="{72D6A3F1-1BB0-4241-9846-F78A3FBECFA6}" name="שיעור חשיפה צפוי בשנת 2026" dataDxfId="633" dataCellStyle="Percent"/>
    <tableColumn id="4" xr3:uid="{991970AD-EEFD-4F0C-8652-8558247B4ABB}" name="טווח סטייה מותר" dataDxfId="632"/>
    <tableColumn id="5" xr3:uid="{5CB3C81C-6F21-4323-B5A1-49B693B4D5FB}" name="גבולות שיעור החשיפה הצפויה" dataDxfId="631"/>
    <tableColumn id="6" xr3:uid="{2C67B8FB-3F01-4E2E-84A8-48664FA41DCD}" name="מדדי ייחוס" dataDxfId="630" dataCellStyle="Normal 2"/>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EB1ACA7E-B6A2-497B-BC5B-C1EB1AF93F32}" name="Table29126" displayName="Table29126" ref="A416:F427" totalsRowShown="0" headerRowDxfId="629" headerRowBorderDxfId="628" tableBorderDxfId="627">
  <tableColumns count="6">
    <tableColumn id="1" xr3:uid="{E7B67800-FD45-42EC-9C8F-25E2C57EC4D3}" name="אפיק" dataDxfId="626"/>
    <tableColumn id="2" xr3:uid="{5FF570A6-79A5-4D68-AACE-1953F37005CA}" name="שיעור חשיפה עדכני" dataDxfId="625" dataCellStyle="Percent"/>
    <tableColumn id="3" xr3:uid="{78AFC8C4-18B1-4010-A42D-72D7B9F8F92F}" name="שיעור חשיפה צפוי בשנת 2026" dataDxfId="624" dataCellStyle="Percent"/>
    <tableColumn id="4" xr3:uid="{DF29095F-6137-4032-A4BC-C3DA9E8F7F06}" name="טווח סטייה מותר" dataDxfId="623"/>
    <tableColumn id="5" xr3:uid="{4411401B-B826-47BA-B6CA-8FB2AF3503F2}" name="גבולות שיעור החשיפה הצפויה" dataDxfId="622"/>
    <tableColumn id="6" xr3:uid="{A018F902-2B06-4034-8C71-0E151F06CE41}" name="מדדי ייחוס" dataDxfId="621" dataCellStyle="Normal 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56D7644C-4739-4039-82DB-9059214BC564}" name="Table30127" displayName="Table30127" ref="A431:F439" totalsRowShown="0" headerRowDxfId="620" headerRowBorderDxfId="619" tableBorderDxfId="618">
  <tableColumns count="6">
    <tableColumn id="1" xr3:uid="{5DC86A72-0F46-4F3F-BBDD-D2CD4575787C}" name="אפיק" dataDxfId="617"/>
    <tableColumn id="2" xr3:uid="{6A973F60-AD27-4B5E-A029-BFEF8773DED8}" name="שיעור חשיפה עדכני" dataDxfId="616" dataCellStyle="Percent"/>
    <tableColumn id="3" xr3:uid="{61C1F92C-2CA5-4627-A861-38CDAD3556E4}" name="שיעור חשיפה צפוי בשנת 2026" dataDxfId="615" dataCellStyle="Percent"/>
    <tableColumn id="4" xr3:uid="{DB4AF677-AC23-41FE-8254-9586CC9C4F10}" name="טווח סטייה מותר" dataDxfId="614"/>
    <tableColumn id="5" xr3:uid="{6D771C21-2413-4555-B896-FACC1A0C9086}" name="גבולות שיעור החשיפה הצפויה" dataDxfId="613"/>
    <tableColumn id="6" xr3:uid="{B6D29340-C4D7-4CB7-9580-FF5CCA62427F}" name="מדדי ייחוס" dataDxfId="612" dataCellStyle="Normal 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2E165DD9-0D3F-447E-9F56-D1736396D7C1}" name="Table31128" displayName="Table31128" ref="A443:F454" totalsRowShown="0" headerRowDxfId="611" headerRowBorderDxfId="610" tableBorderDxfId="609">
  <tableColumns count="6">
    <tableColumn id="1" xr3:uid="{1F8F8AE1-5C67-4E1F-9F8D-D1A55C0377CB}" name="אפיק" dataDxfId="608"/>
    <tableColumn id="2" xr3:uid="{731DEE01-E1D8-4B31-BA9C-2AAC5901A2B1}" name="שיעור חשיפה עדכני" dataDxfId="607" dataCellStyle="Percent"/>
    <tableColumn id="3" xr3:uid="{28AC4AD4-2D17-420A-BD1E-A8481F9FC1AE}" name="שיעור חשיפה צפוי בשנת 2026" dataDxfId="606" dataCellStyle="Percent"/>
    <tableColumn id="4" xr3:uid="{033C7535-CBCA-4AEB-8C46-AED1E403A539}" name="טווח סטייה מותר" dataDxfId="605"/>
    <tableColumn id="5" xr3:uid="{D273268E-8AE3-47E5-AD35-1B1BC6374DCA}" name="גבולות שיעור החשיפה הצפויה" dataDxfId="604"/>
    <tableColumn id="6" xr3:uid="{DCAF058A-3651-4D35-8666-9EBCC035FCA7}" name="מדדי ייחוס" dataDxfId="603" dataCellStyle="Normal 2"/>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92E1754-A0DB-4F5D-B97B-B10622166751}" name="Table32129" displayName="Table32129" ref="A458:F470" totalsRowShown="0" headerRowDxfId="602" headerRowBorderDxfId="601" tableBorderDxfId="600">
  <tableColumns count="6">
    <tableColumn id="1" xr3:uid="{AFA33F87-E7FE-4B9A-B078-800D58C6C025}" name="אפיק" dataDxfId="599"/>
    <tableColumn id="2" xr3:uid="{1FBEA039-0280-4556-90A6-41C8EF864617}" name="שיעור חשיפה עדכני" dataDxfId="598" dataCellStyle="Percent"/>
    <tableColumn id="3" xr3:uid="{FBBFB911-DBB9-4E59-800E-CA94032687D5}" name="שיעור חשיפה צפוי בשנת 2026" dataDxfId="597" dataCellStyle="Percent"/>
    <tableColumn id="4" xr3:uid="{1E852E80-89BE-4102-8F2A-175B1D2EC132}" name="טווח סטייה מותר" dataDxfId="596"/>
    <tableColumn id="5" xr3:uid="{9D4AE605-7F8F-4FDD-A16B-540050845561}" name="גבולות שיעור החשיפה הצפויה" dataDxfId="595"/>
    <tableColumn id="6" xr3:uid="{5CE74AD6-3D0F-4D68-AE81-8F68FB512326}" name="מדדי ייחוס" dataDxfId="594" dataCellStyle="Normal 2"/>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996B8204-4BAD-4E7F-A178-A618A517DC47}" name="Table33130" displayName="Table33130" ref="A474:F485" totalsRowShown="0" headerRowDxfId="593" headerRowBorderDxfId="592" tableBorderDxfId="591">
  <tableColumns count="6">
    <tableColumn id="1" xr3:uid="{3EB45F20-A94F-45C5-A12A-40195E46BF85}" name="אפיק" dataDxfId="590"/>
    <tableColumn id="2" xr3:uid="{9CC464DC-7C42-4DAD-9E61-E69ED4F48103}" name="שיעור חשיפה עדכני" dataDxfId="589" dataCellStyle="Percent"/>
    <tableColumn id="3" xr3:uid="{17FAC6AE-739A-48E2-B386-82E32B16D1FF}" name="שיעור חשיפה צפוי בשנת 2026" dataDxfId="588" dataCellStyle="Percent"/>
    <tableColumn id="4" xr3:uid="{64EAE482-05D6-4997-8926-5B3B18A0468C}" name="טווח סטייה מותר" dataDxfId="587"/>
    <tableColumn id="5" xr3:uid="{4CE0E09D-14A7-4F4A-B5EC-DE19E0DAE2C0}" name="גבולות שיעור החשיפה הצפויה" dataDxfId="586"/>
    <tableColumn id="6" xr3:uid="{AF1DE0A8-16FF-4FAF-83A8-E54C2CC4910A}" name="מדדי ייחוס" dataDxfId="585" dataCellStyle="Normal 2"/>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C53634F4-EE08-461F-94DB-8AEF9747626E}" name="Table34131" displayName="Table34131" ref="A489:F497" totalsRowShown="0" headerRowDxfId="584" headerRowBorderDxfId="583" tableBorderDxfId="582">
  <tableColumns count="6">
    <tableColumn id="1" xr3:uid="{4E38F006-E1C0-4DEB-889B-946815C7FF16}" name="אפיק" dataDxfId="581"/>
    <tableColumn id="2" xr3:uid="{562C36F4-230A-4A12-8E45-3651941603CF}" name="שיעור חשיפה עדכני" dataDxfId="580" dataCellStyle="Percent"/>
    <tableColumn id="3" xr3:uid="{E0B30073-6D15-4F5B-A77D-76E44AF0F093}" name="שיעור חשיפה צפוי בשנת 2026" dataDxfId="579" dataCellStyle="Percent"/>
    <tableColumn id="4" xr3:uid="{36A7BC35-5BCE-48E9-9B0D-81784BD903D0}" name="טווח סטייה מותר" dataDxfId="578"/>
    <tableColumn id="5" xr3:uid="{64743CE8-1BA5-482A-9C41-35D2FF112555}" name="גבולות שיעור החשיפה הצפויה" dataDxfId="577"/>
    <tableColumn id="6" xr3:uid="{FB8020A5-3D6E-47A5-9F62-646DBAF522F0}" name="מדדי ייחוס" dataDxfId="576" dataCellStyle="Normal 2"/>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33F377B0-7D29-4B1B-825D-FE516B1F6771}" name="Table35132" displayName="Table35132" ref="A501:F508" totalsRowShown="0" headerRowDxfId="575" headerRowBorderDxfId="574" tableBorderDxfId="573">
  <tableColumns count="6">
    <tableColumn id="1" xr3:uid="{ACA0DABA-4AF3-4B00-A7F6-40E33E4D034F}" name="אפיק" dataDxfId="572"/>
    <tableColumn id="2" xr3:uid="{282B993E-3AF1-4A45-9FAC-4A548513DACB}" name="שיעור חשיפה עדכני" dataDxfId="571" dataCellStyle="Percent"/>
    <tableColumn id="3" xr3:uid="{87105AED-6FB0-4283-B0CB-BCDBEAEF724D}" name="שיעור חשיפה צפוי בשנת 2026" dataDxfId="570" dataCellStyle="Percent"/>
    <tableColumn id="4" xr3:uid="{69C6B059-5361-4666-B59C-C4885D872BE0}" name="טווח סטייה מותר" dataDxfId="569"/>
    <tableColumn id="5" xr3:uid="{24CD4EA2-C1D0-40CD-93A3-164F30A2A2C6}" name="גבולות שיעור החשיפה הצפויה" dataDxfId="568"/>
    <tableColumn id="6" xr3:uid="{D0D56113-9B4C-4CD8-8558-40961CB7BCFD}" name="מדדי ייחוס" dataDxfId="567" dataCellStyle="Normal 2"/>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AC84289D-FA16-464F-9F49-EA2D538A3BD8}" name="Table36133" displayName="Table36133" ref="A512:F519" totalsRowShown="0" headerRowDxfId="566" headerRowBorderDxfId="565" tableBorderDxfId="564">
  <tableColumns count="6">
    <tableColumn id="1" xr3:uid="{63C6AAEB-979A-450B-B8B4-0EA6CF88B66A}" name="אפיק" dataDxfId="563"/>
    <tableColumn id="2" xr3:uid="{663FA5B4-7CB4-4232-8AD0-AD4A581BA236}" name="שיעור חשיפה עדכני" dataDxfId="562" dataCellStyle="Percent"/>
    <tableColumn id="3" xr3:uid="{ECB7CF1B-E179-4DD5-B141-2BEBC534FB7B}" name="שיעור חשיפה צפוי בשנת 2026" dataDxfId="561" dataCellStyle="Percent"/>
    <tableColumn id="4" xr3:uid="{C560B0AD-9BE5-49C9-BB13-6EDB31AF9F12}" name="טווח סטייה מותר" dataDxfId="560"/>
    <tableColumn id="5" xr3:uid="{11DEC11B-5D9B-4AB6-8242-CE3C6629180E}" name="גבולות שיעור החשיפה הצפויה" dataDxfId="559"/>
    <tableColumn id="6" xr3:uid="{6DD48D83-3A54-4E75-AA93-90DCAA3261B5}" name="מדדי ייחוס" dataDxfId="558" dataCellStyle="Normal 2"/>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EEB64654-BCFA-4D3C-8750-A079E66A6B0D}" name="Table37134" displayName="Table37134" ref="A523:F530" totalsRowShown="0" headerRowDxfId="557" headerRowBorderDxfId="556" tableBorderDxfId="555">
  <tableColumns count="6">
    <tableColumn id="1" xr3:uid="{29FCFB50-7352-4040-AD5A-6CED9777ADA9}" name="אפיק" dataDxfId="554"/>
    <tableColumn id="2" xr3:uid="{B5FDBDBD-4969-458A-907B-6A2C9FC07B81}" name="שיעור חשיפה עדכני" dataDxfId="553" dataCellStyle="Percent"/>
    <tableColumn id="3" xr3:uid="{CB4A5FF2-DBE3-453E-8DE6-A9245F09C94B}" name="שיעור חשיפה צפוי בשנת 2026" dataDxfId="552" dataCellStyle="Percent"/>
    <tableColumn id="4" xr3:uid="{DEE00EE5-A73F-49E5-B6C3-1D54E26EDF3D}" name="טווח סטייה מותר" dataDxfId="551"/>
    <tableColumn id="5" xr3:uid="{C486F964-1034-44CE-8B4F-050871FF1CC6}" name="גבולות שיעור החשיפה הצפויה" dataDxfId="550"/>
    <tableColumn id="6" xr3:uid="{B84032C4-E883-4AE0-9A57-AD0270314B96}" name="מדדי ייחוס" dataDxfId="549" dataCellStyle="Normal 2"/>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09B97153-61E2-42B6-9D59-9AF34AAA251C}" name="Table38135" displayName="Table38135" ref="A534:F541" totalsRowShown="0" headerRowDxfId="548" headerRowBorderDxfId="547" tableBorderDxfId="546">
  <tableColumns count="6">
    <tableColumn id="1" xr3:uid="{F9F86523-407D-4BFB-B566-0C843A5526C5}" name="אפיק" dataDxfId="545"/>
    <tableColumn id="2" xr3:uid="{2DFAAC44-C7DF-4D57-828E-83966344CF14}" name="שיעור חשיפה עדכני" dataDxfId="544" dataCellStyle="Percent"/>
    <tableColumn id="3" xr3:uid="{9C904E7C-F827-4A2E-84DA-0C785A6943F6}" name="שיעור חשיפה צפוי בשנת 2026" dataDxfId="543" dataCellStyle="Percent"/>
    <tableColumn id="4" xr3:uid="{471D380B-16FA-48B5-8051-0E3F80A91DAB}" name="טווח סטייה מותר" dataDxfId="542"/>
    <tableColumn id="5" xr3:uid="{6BE51E7F-A5BD-41D4-BDAC-4F62914A14C5}" name="גבולות שיעור החשיפה הצפויה" dataDxfId="541"/>
    <tableColumn id="6" xr3:uid="{59B90FEC-97F0-46BA-9C0C-0508AB8BECFB}" name="מדדי ייחוס" dataDxfId="540" dataCellStyle="Normal 2"/>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A0B6B5D8-1AAF-4758-BD18-5A3FCD673E33}" name="Table39136" displayName="Table39136" ref="A545:F552" totalsRowShown="0" headerRowDxfId="539" headerRowBorderDxfId="538" tableBorderDxfId="537">
  <tableColumns count="6">
    <tableColumn id="1" xr3:uid="{45CCB5A6-598C-4AD2-BDF2-75B7A02AF371}" name="אפיק" dataDxfId="536"/>
    <tableColumn id="2" xr3:uid="{1782C550-317F-4F20-BA94-654679F24767}" name="שיעור חשיפה עדכני" dataDxfId="535" dataCellStyle="Percent"/>
    <tableColumn id="3" xr3:uid="{5D32D2A1-6878-46F7-8CA3-8056136D200D}" name="שיעור חשיפה צפוי בשנת 2026" dataDxfId="534" dataCellStyle="Percent"/>
    <tableColumn id="4" xr3:uid="{EDF14E3A-A340-4AC2-A543-51CCD0B845AD}" name="טווח סטייה מותר" dataDxfId="533"/>
    <tableColumn id="5" xr3:uid="{A984F260-74E1-4F3F-9EEA-AC20DD0EB42E}" name="גבולות שיעור החשיפה הצפויה" dataDxfId="532"/>
    <tableColumn id="6" xr3:uid="{E6062E6A-4F60-4D5F-8DAB-9EDA5F47F14A}" name="מדדי ייחוס" dataDxfId="531" dataCellStyle="Normal 2"/>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D0BAC51F-1A66-4D4D-B9A8-07E08FE81E32}" name="Table40137" displayName="Table40137" ref="A556:F565" totalsRowShown="0" headerRowDxfId="530" headerRowBorderDxfId="529" tableBorderDxfId="528">
  <tableColumns count="6">
    <tableColumn id="1" xr3:uid="{A6B733D9-E556-4E6B-A4D6-FC088C062543}" name="אפיק" dataDxfId="527"/>
    <tableColumn id="2" xr3:uid="{B70F3C5E-9FE3-486F-AB49-1229866CF9BF}" name="שיעור חשיפה עדכני" dataDxfId="526" dataCellStyle="Percent"/>
    <tableColumn id="3" xr3:uid="{C81B5FD7-228E-4AD6-AD54-67BF297C05D6}" name="שיעור חשיפה צפוי בשנת 2026" dataDxfId="525" dataCellStyle="Percent"/>
    <tableColumn id="4" xr3:uid="{27ACB1C6-48D2-41E5-9452-2AB75C96400A}" name="טווח סטייה מותר" dataDxfId="524"/>
    <tableColumn id="5" xr3:uid="{739E53AE-6DBD-4A0E-B9A0-B554393DF1ED}" name="גבולות שיעור החשיפה הצפויה" dataDxfId="523"/>
    <tableColumn id="6" xr3:uid="{AF1B0EE2-0BA4-4A49-81EB-C2326A2BA25D}" name="מדדי ייחוס" dataDxfId="522" dataCellStyle="Normal 2"/>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6EF18ADF-2194-441F-83B7-025E6AFE4DB3}" name="Table41138" displayName="Table41138" ref="A569:F577" totalsRowShown="0" headerRowDxfId="521" headerRowBorderDxfId="520" tableBorderDxfId="519">
  <tableColumns count="6">
    <tableColumn id="1" xr3:uid="{D32B5095-CEB7-43CA-990F-D6FAF6A1FF79}" name="אפיק" dataDxfId="518"/>
    <tableColumn id="2" xr3:uid="{06C5A569-425B-437E-AFE4-5787B67A759F}" name="שיעור חשיפה עדכני" dataDxfId="517" dataCellStyle="Percent"/>
    <tableColumn id="3" xr3:uid="{39E72FFD-F48F-48C1-B57E-1FFC27D19C7F}" name="שיעור חשיפה צפוי בשנת 2026" dataDxfId="516" dataCellStyle="Percent"/>
    <tableColumn id="4" xr3:uid="{DC873052-B905-4DD5-B377-9623B4CAF8A7}" name="טווח סטייה מותר" dataDxfId="515"/>
    <tableColumn id="5" xr3:uid="{18DDBFB1-D9FA-44D6-B866-29DFFB215B43}" name="גבולות שיעור החשיפה הצפויה" dataDxfId="514"/>
    <tableColumn id="6" xr3:uid="{6E278A7F-4D9F-46B0-819F-F9A80D600BC5}" name="מדדי ייחוס" dataDxfId="513" dataCellStyle="Normal 2"/>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D8B1D054-BCF6-4D63-AE09-52E93F1933D3}" name="Table42139" displayName="Table42139" ref="A592:F600" totalsRowShown="0" headerRowDxfId="512" headerRowBorderDxfId="511" tableBorderDxfId="510">
  <tableColumns count="6">
    <tableColumn id="1" xr3:uid="{FBF245DF-C524-4D14-BB95-CCA318F879FF}" name="אפיק" dataDxfId="509"/>
    <tableColumn id="2" xr3:uid="{4C532189-E329-4EA2-8867-17AA1DBD4E51}" name="שיעור חשיפה עדכני" dataDxfId="508" dataCellStyle="Percent"/>
    <tableColumn id="3" xr3:uid="{614829AA-F1C5-4348-B8EC-B5B68662C8D5}" name="שיעור חשיפה צפוי בשנת 2026" dataDxfId="507" dataCellStyle="Percent"/>
    <tableColumn id="4" xr3:uid="{CCC88F70-797C-4F34-9010-9DF0CFB7E9F8}" name="טווח סטייה מותר" dataDxfId="506"/>
    <tableColumn id="5" xr3:uid="{47EF9CF1-BE7F-4C85-9C82-14F86DD012C3}" name="גבולות שיעור החשיפה הצפויה" dataDxfId="505"/>
    <tableColumn id="6" xr3:uid="{16216CE9-1A12-403B-ABFE-07BF636B02D4}" name="מדדי ייחוס" dataDxfId="504" dataCellStyle="Normal 2"/>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D5C5D436-C986-47CB-B201-3277C9CC14C8}" name="Table43140" displayName="Table43140" ref="A604:F612" totalsRowShown="0" headerRowDxfId="503" headerRowBorderDxfId="502" tableBorderDxfId="501">
  <tableColumns count="6">
    <tableColumn id="1" xr3:uid="{3E6F30CE-CC14-4D17-B5AB-1323F151A989}" name="אפיק" dataDxfId="500"/>
    <tableColumn id="2" xr3:uid="{8A94DEEA-E8AD-45F5-8216-39233B85FC3B}" name="שיעור חשיפה עדכני" dataDxfId="499" dataCellStyle="Percent"/>
    <tableColumn id="3" xr3:uid="{B6137A2E-5F52-4168-80D3-3B6C44C68E39}" name="שיעור חשיפה צפוי בשנת 2026" dataDxfId="498" dataCellStyle="Percent"/>
    <tableColumn id="4" xr3:uid="{3C4DF316-4D59-41F8-A8B6-6049F1973177}" name="טווח סטייה מותר" dataDxfId="497"/>
    <tableColumn id="5" xr3:uid="{43693925-5D75-48D9-A122-5A7C0F9FD83E}" name="גבולות שיעור החשיפה הצפויה" dataDxfId="496"/>
    <tableColumn id="6" xr3:uid="{DEE98B28-70E6-4CD0-8FC6-C625274A60AA}" name="מדדי ייחוס" dataDxfId="495" dataCellStyle="Normal 2"/>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DF89CE2F-E1F9-4A8C-AF4E-67741A98CDD6}" name="Table44141" displayName="Table44141" ref="A616:F623" totalsRowShown="0" headerRowDxfId="494" headerRowBorderDxfId="493" tableBorderDxfId="492">
  <tableColumns count="6">
    <tableColumn id="1" xr3:uid="{261A8B1F-A2CE-4112-A631-55E1CFF72A09}" name="אפיק" dataDxfId="491"/>
    <tableColumn id="2" xr3:uid="{6F4B7CB0-2A63-41C3-9711-771300852D2F}" name="שיעור חשיפה עדכני" dataDxfId="490" dataCellStyle="Percent"/>
    <tableColumn id="3" xr3:uid="{9E9B2537-E1DE-42E8-85D8-44A0EB89902F}" name="שיעור חשיפה צפוי בשנת 2026" dataDxfId="489" dataCellStyle="Percent"/>
    <tableColumn id="4" xr3:uid="{15E2A8A1-40B3-4C7F-A5B8-0DC57D1C45BA}" name="טווח סטייה מותר" dataDxfId="488"/>
    <tableColumn id="5" xr3:uid="{229D73CA-9F7A-4D90-8DAF-D9718060E540}" name="גבולות שיעור החשיפה הצפויה" dataDxfId="487"/>
    <tableColumn id="6" xr3:uid="{B6F2876C-C50C-41AD-8EF0-89A9AE65E2DC}" name="מדדי ייחוס" dataDxfId="486" dataCellStyle="Normal 2"/>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5239D575-40BD-4590-A842-276F8BC61B80}" name="Table45142" displayName="Table45142" ref="A627:F633" totalsRowShown="0" headerRowDxfId="485" headerRowBorderDxfId="484" tableBorderDxfId="483">
  <tableColumns count="6">
    <tableColumn id="1" xr3:uid="{BC46E853-0A9E-41A2-91A2-8B81B12A8B1B}" name="אפיק" dataDxfId="482"/>
    <tableColumn id="2" xr3:uid="{7583C152-D2D3-4DFB-8D52-3B3EC7438234}" name="שיעור חשיפה עדכני" dataDxfId="481" dataCellStyle="Percent"/>
    <tableColumn id="3" xr3:uid="{FBCB5442-5096-4015-9692-54475CB53E5A}" name="שיעור חשיפה צפוי בשנת 2026" dataDxfId="480" dataCellStyle="Percent"/>
    <tableColumn id="4" xr3:uid="{ECC26821-3D3D-4F6A-A6B2-514ACCE41040}" name="טווח סטייה מותר" dataDxfId="479"/>
    <tableColumn id="5" xr3:uid="{5E173EC5-C3B7-428C-9324-A6FD14AF6F13}" name="גבולות שיעור החשיפה הצפויה" dataDxfId="478"/>
    <tableColumn id="6" xr3:uid="{744ACD47-5479-4954-A91D-2379E7A6316B}" name="מדדי ייחוס" dataDxfId="477" dataCellStyle="Normal 2"/>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66802CA1-E6F0-43D3-B15A-29086C7742AA}" name="Table46143" displayName="Table46143" ref="A637:F643" totalsRowShown="0" headerRowDxfId="476" headerRowBorderDxfId="475" tableBorderDxfId="474">
  <tableColumns count="6">
    <tableColumn id="1" xr3:uid="{B2152124-8B76-4A67-8007-56C06080511D}" name="אפיק" dataDxfId="473"/>
    <tableColumn id="2" xr3:uid="{089ACDB9-BDDD-4F07-AE22-DCB46BF55802}" name="שיעור חשיפה עדכני" dataDxfId="472" dataCellStyle="Percent"/>
    <tableColumn id="3" xr3:uid="{8CF1E36E-D2EA-45E3-B71B-C5818E7BCD31}" name="שיעור חשיפה צפוי בשנת 2026" dataDxfId="471" dataCellStyle="Percent"/>
    <tableColumn id="4" xr3:uid="{A298766C-EFBE-4BF3-B13A-78B080539D5E}" name="טווח סטייה מותר" dataDxfId="470"/>
    <tableColumn id="5" xr3:uid="{4877B112-4BD5-48B8-BE29-D6E0C1BA40C3}" name="גבולות שיעור החשיפה הצפויה" dataDxfId="469"/>
    <tableColumn id="6" xr3:uid="{D2BD7FC1-8E0F-459B-9410-FE82F417F19A}" name="מדדי ייחוס" dataDxfId="468" dataCellStyle="Normal 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E2C2317B-8DC6-4D73-AD98-96BC5726C3B0}" name="Table47144" displayName="Table47144" ref="A647:F654" totalsRowShown="0" headerRowDxfId="467" headerRowBorderDxfId="466" tableBorderDxfId="465">
  <tableColumns count="6">
    <tableColumn id="1" xr3:uid="{AECCFBDB-54C9-497F-A2A0-4DDC5D845214}" name="אפיק" dataDxfId="464"/>
    <tableColumn id="2" xr3:uid="{C837FE00-F0D6-49F7-8D2C-227BF1A95066}" name="שיעור חשיפה עדכני" dataDxfId="463" dataCellStyle="Percent"/>
    <tableColumn id="3" xr3:uid="{85DF29BE-09BB-4605-8D15-C590D25442C6}" name="שיעור חשיפה צפוי בשנת 2026" dataDxfId="462" dataCellStyle="Percent"/>
    <tableColumn id="4" xr3:uid="{B8B0DED6-16C0-44B7-8DBD-E9BF4AECB006}" name="טווח סטייה מותר" dataDxfId="461"/>
    <tableColumn id="5" xr3:uid="{F78B1F38-597C-4746-81BE-56AB5018AD5B}" name="גבולות שיעור החשיפה הצפויה" dataDxfId="460"/>
    <tableColumn id="6" xr3:uid="{85CB22DD-0620-4971-97D7-95E2EC0D6AE4}" name="מדדי ייחוס" dataDxfId="459" dataCellStyle="Normal 2"/>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A74F5214-63D6-4461-8F2D-EE1108CE96B2}" name="Table48145" displayName="Table48145" ref="A658:F665" totalsRowShown="0" headerRowDxfId="458" headerRowBorderDxfId="457" tableBorderDxfId="456">
  <tableColumns count="6">
    <tableColumn id="1" xr3:uid="{7FA39637-8749-4620-8AC2-133A3CF2ABEE}" name="אפיק" dataDxfId="455"/>
    <tableColumn id="2" xr3:uid="{62ABE905-C877-424E-A895-E06D006F6B3B}" name="שיעור חשיפה עדכני" dataDxfId="454" dataCellStyle="Percent"/>
    <tableColumn id="3" xr3:uid="{CAB61E8C-BE22-4946-942B-10705F5714CF}" name="שיעור חשיפה צפוי בשנת 2026" dataDxfId="453" dataCellStyle="Percent"/>
    <tableColumn id="4" xr3:uid="{2CDB4AF9-1916-4399-A6ED-975B194DA4FC}" name="טווח סטייה מותר" dataDxfId="452"/>
    <tableColumn id="5" xr3:uid="{D3BCFFA0-6F68-4204-9DE2-F6DA35F04C52}" name="גבולות שיעור החשיפה הצפויה" dataDxfId="451"/>
    <tableColumn id="6" xr3:uid="{212F2AC8-E57D-488F-B4B4-9E7BFB3C1811}" name="מדדי ייחוס" dataDxfId="450" dataCellStyle="Normal 2"/>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B7048960-B7AD-42E0-84D5-65DC1C33C0E2}" name="Table49146" displayName="Table49146" ref="A669:F676" totalsRowShown="0" headerRowDxfId="449" headerRowBorderDxfId="448" tableBorderDxfId="447">
  <tableColumns count="6">
    <tableColumn id="1" xr3:uid="{F4B1F5C9-A4AA-4B16-8179-B185606DDA1C}" name="אפיק" dataDxfId="446"/>
    <tableColumn id="2" xr3:uid="{38C6A904-923C-498C-848F-21BFDCBCAE0A}" name="שיעור חשיפה עדכני" dataDxfId="445" dataCellStyle="Percent"/>
    <tableColumn id="3" xr3:uid="{3B1315E7-E76B-48F6-8CF6-85A18CE17F50}" name="שיעור חשיפה צפוי בשנת 2026" dataDxfId="444" dataCellStyle="Percent"/>
    <tableColumn id="4" xr3:uid="{269C4191-BF00-470C-A9C0-98619823003A}" name="טווח סטייה מותר" dataDxfId="443"/>
    <tableColumn id="5" xr3:uid="{26E7F712-25BC-4070-8F06-8C9C7F8A2890}" name="גבולות שיעור החשיפה הצפויה" dataDxfId="442"/>
    <tableColumn id="6" xr3:uid="{C4522906-B551-43E2-A6CE-E5FF0B4FAA82}" name="מדדי ייחוס" dataDxfId="441" dataCellStyle="Normal 2"/>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CF2D9737-B35F-403E-9CB3-7A29CACE5BC8}" name="Table50147" displayName="Table50147" ref="A680:F688" totalsRowShown="0" headerRowDxfId="440" headerRowBorderDxfId="439" tableBorderDxfId="438">
  <tableColumns count="6">
    <tableColumn id="1" xr3:uid="{CDDFB0FD-FF21-4984-AB01-FB2697469AC4}" name="אפיק" dataDxfId="437"/>
    <tableColumn id="2" xr3:uid="{12DE0FA4-ED2E-41B8-933D-803730162B70}" name="שיעור חשיפה עדכני" dataDxfId="436" dataCellStyle="Percent"/>
    <tableColumn id="3" xr3:uid="{1BC1CDB7-980A-4760-9C5B-4B9F12D2690A}" name="שיעור חשיפה צפוי בשנת 2026" dataDxfId="435" dataCellStyle="Percent"/>
    <tableColumn id="4" xr3:uid="{1A393AB4-615A-423F-9BAA-EFAB9111FADE}" name="טווח סטייה מותר" dataDxfId="434"/>
    <tableColumn id="5" xr3:uid="{72B674C8-1E27-4D26-9FEF-0A49DCD967F6}" name="גבולות שיעור החשיפה הצפויה" dataDxfId="433"/>
    <tableColumn id="6" xr3:uid="{614BA277-5BA6-448E-8917-E3B81FE7E021}" name="מדדי ייחוס" dataDxfId="432" dataCellStyle="Normal 2"/>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ED9B50F3-FB1E-4CEE-BE08-49446A5A0372}" name="Table51148" displayName="Table51148" ref="A692:F699" totalsRowShown="0" headerRowDxfId="431" headerRowBorderDxfId="430" tableBorderDxfId="429">
  <tableColumns count="6">
    <tableColumn id="1" xr3:uid="{102D71FE-67A8-4A13-B154-52FBF38BC557}" name="אפיק" dataDxfId="428"/>
    <tableColumn id="2" xr3:uid="{FC5542B5-247D-4725-9188-95E7E1910539}" name="שיעור חשיפה עדכני" dataDxfId="427" dataCellStyle="Percent"/>
    <tableColumn id="3" xr3:uid="{F6E365EC-51B5-428D-BBD4-DB9D676EA894}" name="שיעור חשיפה צפוי בשנת 2026" dataDxfId="426" dataCellStyle="Percent"/>
    <tableColumn id="4" xr3:uid="{D1C55BC9-E8AB-4964-A445-6CCB16EEE60D}" name="טווח סטייה מותר" dataDxfId="425"/>
    <tableColumn id="5" xr3:uid="{C38B5352-66FA-4507-A4AC-D0D9D4E7C0FB}" name="גבולות שיעור החשיפה הצפויה" dataDxfId="424"/>
    <tableColumn id="6" xr3:uid="{E7665E32-D76D-4DEF-B620-7DAF0B843D9D}" name="מדדי ייחוס" dataDxfId="423" dataCellStyle="Normal 2"/>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CC999221-2391-4EDD-8CA8-26ED8E07DE51}" name="Table52149" displayName="Table52149" ref="A704:F710" totalsRowShown="0" headerRowDxfId="422" headerRowBorderDxfId="421" tableBorderDxfId="420">
  <tableColumns count="6">
    <tableColumn id="1" xr3:uid="{511FC316-28DD-49B3-B174-9FF7A026ADC9}" name="אפיק" dataDxfId="419"/>
    <tableColumn id="2" xr3:uid="{F39E0407-6970-442D-80E5-6DA17031BBFB}" name="שיעור חשיפה עדכני" dataDxfId="418" dataCellStyle="Percent"/>
    <tableColumn id="3" xr3:uid="{D8BC6B8C-2331-4FA7-BD66-BF70AA970AE8}" name="שיעור חשיפה צפוי בשנת 2026" dataDxfId="417" dataCellStyle="Percent"/>
    <tableColumn id="4" xr3:uid="{6C98D216-63F3-4150-BA4C-43EB75E823B9}" name="טווח סטייה מותר" dataDxfId="416"/>
    <tableColumn id="5" xr3:uid="{52573EF7-4EB3-4EED-9132-398B7C7A6A0D}" name="גבולות שיעור החשיפה הצפויה" dataDxfId="415"/>
    <tableColumn id="6" xr3:uid="{0BCFCC6D-B984-4818-8F64-E2D80780BACD}" name="מדדי ייחוס" dataDxfId="414" dataCellStyle="Normal 2"/>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DE4F2347-405D-4664-90BB-62E19428429E}" name="Table53150" displayName="Table53150" ref="A715:F721" totalsRowShown="0" headerRowDxfId="413" headerRowBorderDxfId="412" tableBorderDxfId="411">
  <tableColumns count="6">
    <tableColumn id="1" xr3:uid="{0617DBE2-7035-46E5-9A61-1CEA0D9C868C}" name="אפיק" dataDxfId="410"/>
    <tableColumn id="2" xr3:uid="{936157D9-1C9C-459E-B915-7D740EE53902}" name="שיעור חשיפה עדכני" dataDxfId="409" dataCellStyle="Percent"/>
    <tableColumn id="3" xr3:uid="{EC335E38-784D-445E-8A09-392E3A72B0C7}" name="שיעור חשיפה צפוי בשנת 2026" dataDxfId="408" dataCellStyle="Percent"/>
    <tableColumn id="4" xr3:uid="{77066959-8C20-46E6-8846-75A670B9D464}" name="טווח סטייה מותר" dataDxfId="407"/>
    <tableColumn id="5" xr3:uid="{248F7B58-4C83-4E20-AD57-6BC158851EF3}" name="גבולות שיעור החשיפה הצפויה" dataDxfId="406"/>
    <tableColumn id="6" xr3:uid="{A7C59641-5CD7-4E90-95D6-8D19D2412106}" name="מדדי ייחוס" dataDxfId="405" dataCellStyle="Normal 2"/>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D2D6FC50-0C26-4D19-93D4-853CEC4BBE0A}" name="Table54151" displayName="Table54151" ref="A726:F732" totalsRowShown="0" headerRowDxfId="404" headerRowBorderDxfId="403" tableBorderDxfId="402">
  <tableColumns count="6">
    <tableColumn id="1" xr3:uid="{52E1AB78-24BB-44B6-A23D-ED926AD84D8F}" name="אפיק" dataDxfId="401"/>
    <tableColumn id="2" xr3:uid="{AA6D1526-F19C-4D1F-8266-41918FDDA2B4}" name="שיעור חשיפה עדכני" dataDxfId="400" dataCellStyle="Percent"/>
    <tableColumn id="3" xr3:uid="{5570C6CA-1A9C-4325-90D1-51553CD99EDA}" name="שיעור חשיפה צפוי בשנת 2026" dataDxfId="399" dataCellStyle="Percent"/>
    <tableColumn id="4" xr3:uid="{532528F5-CB6D-434F-8BCA-0026F5A95E5A}" name="טווח סטייה מותר" dataDxfId="398"/>
    <tableColumn id="5" xr3:uid="{27D77CE4-1708-4DA2-8D86-A939368DC75B}" name="גבולות שיעור החשיפה הצפויה" dataDxfId="397"/>
    <tableColumn id="6" xr3:uid="{CFDD44AB-3302-479F-87BC-467D6A61FAED}" name="מדדי ייחוס" dataDxfId="396" dataCellStyle="Normal 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496FE670-F257-4B6B-9C0A-71A1CA37D2D2}" name="Table55152" displayName="Table55152" ref="A737:F743" totalsRowShown="0" headerRowDxfId="395" headerRowBorderDxfId="394" tableBorderDxfId="393">
  <tableColumns count="6">
    <tableColumn id="1" xr3:uid="{35C2FFBB-6FE9-4D4C-98AF-9D7883A806CD}" name="אפיק" dataDxfId="392"/>
    <tableColumn id="2" xr3:uid="{476816A2-9308-4DE1-BCED-6186802C4AD2}" name="שיעור חשיפה עדכני" dataDxfId="391" dataCellStyle="Percent"/>
    <tableColumn id="3" xr3:uid="{0D2C48EE-C6D3-497E-B507-070E5BF06A7A}" name="שיעור חשיפה צפוי בשנת 2026" dataDxfId="390" dataCellStyle="Percent"/>
    <tableColumn id="4" xr3:uid="{D4B0C160-789C-424D-ADAA-6A8D83F47DC1}" name="טווח סטייה מותר" dataDxfId="389"/>
    <tableColumn id="5" xr3:uid="{23DEF1B3-2FC4-47B7-9100-6307B26364D5}" name="גבולות שיעור החשיפה הצפויה" dataDxfId="388"/>
    <tableColumn id="6" xr3:uid="{ABCB8F8D-0B5D-4C77-9325-A64ADED28C29}" name="מדדי ייחוס" dataDxfId="387" dataCellStyle="Normal 2"/>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AF7B57CB-7C64-43DD-BCEA-0E27ACEBB742}" name="Table56153" displayName="Table56153" ref="A748:F754" totalsRowShown="0" headerRowDxfId="386" headerRowBorderDxfId="385" tableBorderDxfId="384">
  <tableColumns count="6">
    <tableColumn id="1" xr3:uid="{BBBB3452-55FA-4D5F-BF70-1DCC79BA2583}" name="אפיק" dataDxfId="383"/>
    <tableColumn id="2" xr3:uid="{AC8505AE-69EA-4423-B190-4DC15E5548A8}" name="שיעור חשיפה עדכני" dataDxfId="382" dataCellStyle="Percent"/>
    <tableColumn id="3" xr3:uid="{2549470A-75A1-4890-A825-09D03105115A}" name="שיעור חשיפה צפוי בשנת 2026" dataDxfId="381" dataCellStyle="Percent"/>
    <tableColumn id="4" xr3:uid="{71156F07-37B6-436B-8C50-F91C6BCB8EE1}" name="טווח סטייה מותר" dataDxfId="380"/>
    <tableColumn id="5" xr3:uid="{30ABA26E-8B1D-43A5-9F0C-971B246181BD}" name="גבולות שיעור החשיפה הצפויה" dataDxfId="379"/>
    <tableColumn id="6" xr3:uid="{990B6E69-0C90-4B2C-8AB3-C72D9F0620E9}" name="מדדי ייחוס" dataDxfId="378" dataCellStyle="Normal 2"/>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8080C121-C7F8-4B5B-A3FC-518DBDDCD234}" name="Table57154" displayName="Table57154" ref="A759:F765" totalsRowShown="0" headerRowDxfId="377" headerRowBorderDxfId="376" tableBorderDxfId="375">
  <tableColumns count="6">
    <tableColumn id="1" xr3:uid="{066EE931-855D-4E52-A125-106940694F43}" name="אפיק" dataDxfId="374"/>
    <tableColumn id="2" xr3:uid="{E9D9530D-2827-48DC-86B1-9DBB4B480B57}" name="שיעור חשיפה עדכני" dataDxfId="373" dataCellStyle="Percent"/>
    <tableColumn id="3" xr3:uid="{01070935-CA36-4608-A729-F5CC16016F57}" name="שיעור חשיפה צפוי בשנת 2026" dataDxfId="372" dataCellStyle="Percent"/>
    <tableColumn id="4" xr3:uid="{D2364174-F375-4933-AF54-26A518DD8B67}" name="טווח סטייה מותר" dataDxfId="371"/>
    <tableColumn id="5" xr3:uid="{706776F1-533D-45D5-9A0F-4FB59382FCC5}" name="גבולות שיעור החשיפה הצפויה" dataDxfId="370"/>
    <tableColumn id="6" xr3:uid="{75F75E80-00E6-40E7-B721-BA0AA85D9A54}" name="מדדי ייחוס" dataDxfId="369" dataCellStyle="Normal 2"/>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71E5D7D4-C310-4BCD-89BA-0CA59C2ACAAA}" name="Table58155" displayName="Table58155" ref="A770:F777" totalsRowShown="0" headerRowDxfId="368" headerRowBorderDxfId="367" tableBorderDxfId="366">
  <tableColumns count="6">
    <tableColumn id="1" xr3:uid="{4F6E827B-B05D-4144-B145-84CC0066C7B9}" name="אפיק" dataDxfId="365"/>
    <tableColumn id="2" xr3:uid="{AE8C96D2-2F1C-4EBF-A4B4-723E1F7E818F}" name="שיעור חשיפה עדכני" dataDxfId="364" dataCellStyle="Percent"/>
    <tableColumn id="3" xr3:uid="{FFC4EBEB-F44E-49DD-B36C-71D1C0B0D139}" name="שיעור חשיפה צפוי בשנת 2026" dataDxfId="363" dataCellStyle="Percent"/>
    <tableColumn id="4" xr3:uid="{60418FE2-3D6F-48D3-B47E-2804C9649709}" name="טווח סטייה מותר" dataDxfId="362"/>
    <tableColumn id="5" xr3:uid="{A86E7730-D032-43C9-B5D5-E5F7CFC9E509}" name="גבולות שיעור החשיפה הצפויה" dataDxfId="361"/>
    <tableColumn id="6" xr3:uid="{88CE7D03-75A8-40E4-A33A-83424D26D441}" name="מדדי ייחוס" dataDxfId="360" dataCellStyle="Normal 2"/>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4096346-749F-4615-85BE-E6E2CF90D664}" name="Table59156" displayName="Table59156" ref="A782:F788" totalsRowShown="0" headerRowDxfId="359" headerRowBorderDxfId="358" tableBorderDxfId="357">
  <tableColumns count="6">
    <tableColumn id="1" xr3:uid="{CCA69F09-82F8-49A1-A7DB-2DAA4803617A}" name="אפיק" dataDxfId="356"/>
    <tableColumn id="2" xr3:uid="{B46DF6D9-9EA7-4629-AF11-AF0D3CC3F9A8}" name="שיעור חשיפה עדכני" dataDxfId="355" dataCellStyle="Percent"/>
    <tableColumn id="3" xr3:uid="{EA88EC0D-FFCF-4B13-9983-95D3F51EFB05}" name="שיעור חשיפה צפוי בשנת 2026" dataDxfId="354" dataCellStyle="Percent"/>
    <tableColumn id="4" xr3:uid="{4B559F80-F6B1-448B-B6A9-8D37933DFE06}" name="טווח סטייה מותר" dataDxfId="353"/>
    <tableColumn id="5" xr3:uid="{9C9A1E73-6E98-4A45-95E9-7EAA85BA6324}" name="גבולות שיעור החשיפה הצפויה" dataDxfId="352"/>
    <tableColumn id="6" xr3:uid="{C967E23C-B618-4FF2-AB49-C309FA0E96F5}" name="מדדי ייחוס" dataDxfId="351" dataCellStyle="Normal 2"/>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2471639F-0754-4308-B448-64D2EC49324A}" name="Table60157" displayName="Table60157" ref="A793:F799" totalsRowShown="0" headerRowDxfId="350" headerRowBorderDxfId="349" tableBorderDxfId="348">
  <tableColumns count="6">
    <tableColumn id="1" xr3:uid="{5760DCF7-1B6F-43B4-AB68-EFFB519F9083}" name="אפיק" dataDxfId="347"/>
    <tableColumn id="2" xr3:uid="{8DBD9A43-51F5-4BF8-8B80-23938A817146}" name="שיעור חשיפה עדכני" dataDxfId="346" dataCellStyle="Percent"/>
    <tableColumn id="3" xr3:uid="{844A6DCA-EF15-45F0-BCDD-7660BC03D9D5}" name="שיעור חשיפה צפוי בשנת 2026" dataDxfId="345" dataCellStyle="Percent"/>
    <tableColumn id="4" xr3:uid="{133D1085-010C-4D88-A7B3-2A10909BB333}" name="טווח סטייה מותר" dataDxfId="344"/>
    <tableColumn id="5" xr3:uid="{BFA3EBF8-571C-46B0-95D2-5C31BF1526B3}" name="גבולות שיעור החשיפה הצפויה" dataDxfId="343"/>
    <tableColumn id="6" xr3:uid="{DAE4B905-F51B-4E4E-B42A-DFEA9F9E6062}" name="מדדי ייחוס" dataDxfId="342" dataCellStyle="Normal 2"/>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BD551945-2E2B-42CD-BBD8-08B0EC988BBF}" name="Table61158" displayName="Table61158" ref="A804:F810" totalsRowShown="0" headerRowDxfId="341" headerRowBorderDxfId="340" tableBorderDxfId="339">
  <tableColumns count="6">
    <tableColumn id="1" xr3:uid="{EE4C268D-3C90-4DE7-BFA1-F9DC3BA33F2F}" name="אפיק" dataDxfId="338"/>
    <tableColumn id="2" xr3:uid="{EA231736-7D0B-499D-AF61-808731037508}" name="שיעור חשיפה עדכני" dataDxfId="337" dataCellStyle="Percent"/>
    <tableColumn id="3" xr3:uid="{73C0B340-8B0D-46DF-9113-2D3C2717DC8C}" name="שיעור חשיפה צפוי בשנת 2026" dataDxfId="336" dataCellStyle="Percent"/>
    <tableColumn id="4" xr3:uid="{3E99478D-F08A-4F68-B6A0-4D1F8F70C50F}" name="טווח סטייה מותר" dataDxfId="335"/>
    <tableColumn id="5" xr3:uid="{04B13D6A-03C8-4B97-812A-0A0F8A98781F}" name="גבולות שיעור החשיפה הצפויה" dataDxfId="334"/>
    <tableColumn id="6" xr3:uid="{EAA7001D-7AC7-4502-B50A-085D5EAE5716}" name="מדדי ייחוס" dataDxfId="333" dataCellStyle="Normal 2"/>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60787DBB-5E7E-43DD-9585-424346259AF7}" name="Table62159" displayName="Table62159" ref="A815:F822" totalsRowShown="0" headerRowDxfId="332" headerRowBorderDxfId="331" tableBorderDxfId="330">
  <tableColumns count="6">
    <tableColumn id="1" xr3:uid="{CDE22063-9D4C-458D-A082-E379F0B0C5AD}" name="אפיק" dataDxfId="329"/>
    <tableColumn id="2" xr3:uid="{1728C2DA-64B5-4A37-ABE6-CE972E9EF544}" name="שיעור חשיפה עדכני" dataDxfId="328" dataCellStyle="Percent"/>
    <tableColumn id="3" xr3:uid="{1FE8B8E0-06F6-4BAA-B99E-5DFFBBE54002}" name="שיעור חשיפה צפוי בשנת 2026" dataDxfId="327" dataCellStyle="Percent"/>
    <tableColumn id="4" xr3:uid="{EEB04606-858B-4EEB-ACE1-73E7BACCDC7C}" name="טווח סטייה מותר" dataDxfId="326"/>
    <tableColumn id="5" xr3:uid="{9F98A253-A726-40EA-8BD3-AE16A38E0B3D}" name="גבולות שיעור החשיפה הצפויה" dataDxfId="325"/>
    <tableColumn id="6" xr3:uid="{10AA5548-F954-469F-89BC-9E1A78F5AD97}" name="מדדי ייחוס" dataDxfId="324" dataCellStyle="Normal 2"/>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0601E60C-0C32-4D93-B405-59BC679B843C}" name="Table63160" displayName="Table63160" ref="A827:F833" totalsRowShown="0" headerRowDxfId="323" headerRowBorderDxfId="322" tableBorderDxfId="321">
  <tableColumns count="6">
    <tableColumn id="1" xr3:uid="{03ABEC55-4042-4204-8F1B-0D1C9C9AFE92}" name="אפיק" dataDxfId="320"/>
    <tableColumn id="2" xr3:uid="{8AD8E719-9929-4E63-AB5F-1592629EF191}" name="שיעור חשיפה עדכני" dataDxfId="319" dataCellStyle="Percent"/>
    <tableColumn id="3" xr3:uid="{0C3FC71D-931C-49C4-B278-8349EB93AF20}" name="שיעור חשיפה צפוי בשנת 2026" dataDxfId="318" dataCellStyle="Percent"/>
    <tableColumn id="4" xr3:uid="{33FFBDB7-1ACD-4D09-8FED-6157371D8D15}" name="טווח סטייה מותר" dataDxfId="317"/>
    <tableColumn id="5" xr3:uid="{16F01499-84A1-4609-9C15-28FDC8A1659D}" name="גבולות שיעור החשיפה הצפויה" dataDxfId="316"/>
    <tableColumn id="6" xr3:uid="{4D88EE58-4FF9-4AE9-9221-8D6E984FDCA9}" name="מדדי ייחוס" dataDxfId="315" dataCellStyle="Normal 2"/>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AEC312A5-597F-46EF-B137-03B84EC1EA42}" name="Table64161" displayName="Table64161" ref="A838:F844" totalsRowShown="0" headerRowDxfId="314" headerRowBorderDxfId="313" tableBorderDxfId="312">
  <tableColumns count="6">
    <tableColumn id="1" xr3:uid="{A4E2CEBE-115E-405F-AA36-10D2F9D59BB4}" name="אפיק" dataDxfId="311"/>
    <tableColumn id="2" xr3:uid="{36712CA8-F735-4DB9-A5E1-3CB29DA05349}" name="שיעור חשיפה עדכני" dataDxfId="310" dataCellStyle="Percent"/>
    <tableColumn id="3" xr3:uid="{35CF3F77-FCF8-46ED-AFE3-06EE4A129DDC}" name="שיעור חשיפה צפוי בשנת 2026" dataDxfId="309" dataCellStyle="Percent"/>
    <tableColumn id="4" xr3:uid="{85011D2B-5AEF-4CAF-88A1-F3E795ECE7B4}" name="טווח סטייה מותר" dataDxfId="308"/>
    <tableColumn id="5" xr3:uid="{CB2C2961-1A70-4F92-A435-6294D4BABE4D}" name="גבולות שיעור החשיפה הצפויה" dataDxfId="307"/>
    <tableColumn id="6" xr3:uid="{0A8B2DCE-5590-4786-B36C-79FD5CF2C96E}" name="מדדי ייחוס" dataDxfId="306" dataCellStyle="Normal 2"/>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C805E4F8-FD0D-49BB-BD2C-58EAAD200DA4}" name="Table65162" displayName="Table65162" ref="A849:F855" totalsRowShown="0" headerRowDxfId="305" headerRowBorderDxfId="304" tableBorderDxfId="303">
  <tableColumns count="6">
    <tableColumn id="1" xr3:uid="{FD96ECC2-FA38-4339-A643-F25F5F9B6360}" name="אפיק" dataDxfId="302"/>
    <tableColumn id="2" xr3:uid="{468B28A9-4C73-4EEA-B277-56707F87C19C}" name="שיעור חשיפה עדכני" dataDxfId="301" dataCellStyle="Percent"/>
    <tableColumn id="3" xr3:uid="{6F207356-2CF4-4FF4-B141-79EF59978291}" name="שיעור חשיפה צפוי בשנת 2026" dataDxfId="300" dataCellStyle="Percent"/>
    <tableColumn id="4" xr3:uid="{1C1D503B-5B2C-46FA-8E94-9C7D237F9CAC}" name="טווח סטייה מותר" dataDxfId="299"/>
    <tableColumn id="5" xr3:uid="{5E3A67C6-FBC9-4AEA-B7B9-530243E8D1CC}" name="גבולות שיעור החשיפה הצפויה" dataDxfId="298"/>
    <tableColumn id="6" xr3:uid="{94072941-6A25-437B-A015-EAA862111C4E}" name="מדדי ייחוס" dataDxfId="297" dataCellStyle="Normal 2"/>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3A5DB8E2-0B5C-44FA-91B4-D6FF99B34CE6}" name="Table66163" displayName="Table66163" ref="A860:F866" totalsRowShown="0" headerRowDxfId="296" headerRowBorderDxfId="295" tableBorderDxfId="294">
  <tableColumns count="6">
    <tableColumn id="1" xr3:uid="{CF9D32F4-A691-46C4-BC50-041D79406E34}" name="אפיק" dataDxfId="293"/>
    <tableColumn id="2" xr3:uid="{4B705E6F-F9F1-456B-A749-028DB4ED2E51}" name="שיעור חשיפה עדכני" dataDxfId="292" dataCellStyle="Percent"/>
    <tableColumn id="3" xr3:uid="{A0C00BA9-8E1F-47AE-B366-85CEC859A2AA}" name="שיעור חשיפה צפוי בשנת 2026" dataDxfId="291" dataCellStyle="Percent"/>
    <tableColumn id="4" xr3:uid="{F1A9A03A-4C15-448A-A610-C37D9C986A43}" name="טווח סטייה מותר" dataDxfId="290"/>
    <tableColumn id="5" xr3:uid="{5F7A61EF-AF90-481B-BF94-17522D139DF5}" name="גבולות שיעור החשיפה הצפויה" dataDxfId="289"/>
    <tableColumn id="6" xr3:uid="{856659A8-0352-4C92-8193-B884C6394E56}" name="מדדי ייחוס" dataDxfId="288" dataCellStyle="Normal 2"/>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F9AF3116-1143-4FE0-99FB-4156392F0F69}" name="Table67164" displayName="Table67164" ref="A871:F877" totalsRowShown="0" headerRowDxfId="287" headerRowBorderDxfId="286" tableBorderDxfId="285">
  <tableColumns count="6">
    <tableColumn id="1" xr3:uid="{049DEEB2-8023-4F88-9034-BA67A1C32AE8}" name="אפיק" dataDxfId="284"/>
    <tableColumn id="2" xr3:uid="{1146DC76-7E22-44D1-BBA9-2A672AB384C8}" name="שיעור חשיפה עדכני" dataDxfId="283" dataCellStyle="Percent"/>
    <tableColumn id="3" xr3:uid="{2CA2053D-B499-4C96-831D-BF41DAEABF81}" name="שיעור חשיפה צפוי בשנת 2026" dataDxfId="282" dataCellStyle="Percent"/>
    <tableColumn id="4" xr3:uid="{C9D14702-3819-4604-AC02-5D866D3FC147}" name="טווח סטייה מותר" dataDxfId="281"/>
    <tableColumn id="5" xr3:uid="{A16EC38E-9EC0-4E17-B355-DB0DA97D9614}" name="גבולות שיעור החשיפה הצפויה" dataDxfId="280"/>
    <tableColumn id="6" xr3:uid="{2D4EF7A4-EF88-47C1-8919-700C8D134120}" name="מדדי ייחוס" dataDxfId="279" dataCellStyle="Normal 2"/>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6DB8DF92-B1E1-42F5-8939-60060D3CD79E}" name="Table68165" displayName="Table68165" ref="A882:F889" totalsRowShown="0" headerRowDxfId="278" headerRowBorderDxfId="277" tableBorderDxfId="276">
  <tableColumns count="6">
    <tableColumn id="1" xr3:uid="{C9F6C463-899F-4CF2-B1D5-B67ED6BF4FB2}" name="אפיק" dataDxfId="275"/>
    <tableColumn id="2" xr3:uid="{EBD461FF-1EB5-4389-92FF-8E4ADD13CAEB}" name="שיעור חשיפה עדכני" dataDxfId="274" dataCellStyle="Percent"/>
    <tableColumn id="3" xr3:uid="{68158E70-2360-4933-96AF-0B77122990B9}" name="שיעור חשיפה צפוי בשנת 2026" dataDxfId="273" dataCellStyle="Percent"/>
    <tableColumn id="4" xr3:uid="{F21F59F7-A300-4287-8343-48C1E0E72F03}" name="טווח סטייה מותר" dataDxfId="272"/>
    <tableColumn id="5" xr3:uid="{3FF00D72-A538-410A-A95D-4B97C1C475D0}" name="גבולות שיעור החשיפה הצפויה" dataDxfId="271"/>
    <tableColumn id="6" xr3:uid="{A06E603E-AC70-4D37-B87D-75AA07C1D60F}" name="מדדי ייחוס" dataDxfId="270" dataCellStyle="Normal 2"/>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56D8D400-E9ED-4C6C-B494-4CABA28CBBFB}" name="Table69166" displayName="Table69166" ref="A894:F900" totalsRowShown="0" headerRowDxfId="269" headerRowBorderDxfId="268" tableBorderDxfId="267">
  <tableColumns count="6">
    <tableColumn id="1" xr3:uid="{1F437EA9-8444-4A06-8546-D2B5833F5E30}" name="אפיק" dataDxfId="266"/>
    <tableColumn id="2" xr3:uid="{CDD1CAC1-EAFF-4CAA-9A0D-F4DE5A9C624A}" name="שיעור חשיפה עדכני" dataDxfId="265" dataCellStyle="Percent"/>
    <tableColumn id="3" xr3:uid="{A367252B-AF3D-41F2-B035-AAA1CE3B0EA2}" name="שיעור חשיפה צפוי בשנת 2026" dataDxfId="264" dataCellStyle="Percent"/>
    <tableColumn id="4" xr3:uid="{C822E938-0BB5-491A-9FB3-C3FC9E915323}" name="טווח סטייה מותר" dataDxfId="263"/>
    <tableColumn id="5" xr3:uid="{D1812A02-3DB8-42FF-A4B7-D38CBC44B282}" name="גבולות שיעור החשיפה הצפויה" dataDxfId="262"/>
    <tableColumn id="6" xr3:uid="{B606C2AA-FE92-42EC-802E-24569A68BF28}" name="מדדי ייחוס" dataDxfId="261" dataCellStyle="Normal 2"/>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17089666-E633-411F-AF3F-F38E2804573A}" name="Table70167" displayName="Table70167" ref="A905:F911" totalsRowShown="0" headerRowDxfId="260" headerRowBorderDxfId="259" tableBorderDxfId="258">
  <tableColumns count="6">
    <tableColumn id="1" xr3:uid="{AC42A21A-A263-48B9-82E7-96DB73747B2B}" name="אפיק" dataDxfId="257"/>
    <tableColumn id="2" xr3:uid="{9EE632CA-975D-45CA-9685-5B9981632EC3}" name="שיעור חשיפה עדכני" dataDxfId="256" dataCellStyle="Percent"/>
    <tableColumn id="3" xr3:uid="{02D2CDF0-4A45-470A-AA73-F9D16665F48B}" name="שיעור חשיפה צפוי בשנת 2026" dataDxfId="255" dataCellStyle="Percent"/>
    <tableColumn id="4" xr3:uid="{89531A96-61F6-4D32-B433-EE6D5FA9E6C9}" name="טווח סטייה מותר" dataDxfId="254"/>
    <tableColumn id="5" xr3:uid="{D2DB511D-6C42-417B-9DBF-85FE1B2A6FDA}" name="גבולות שיעור החשיפה הצפויה" dataDxfId="253"/>
    <tableColumn id="6" xr3:uid="{68B63229-A4A8-465F-A669-BDB8849A6B6D}" name="מדדי ייחוס" dataDxfId="252" dataCellStyle="Normal 2"/>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5AA7BE8C-96E9-4F60-B3B3-18A9E8070ECA}" name="Table71168" displayName="Table71168" ref="A916:F922" totalsRowShown="0" headerRowDxfId="251" headerRowBorderDxfId="250" tableBorderDxfId="249">
  <tableColumns count="6">
    <tableColumn id="1" xr3:uid="{DF23C971-3DC0-4147-8C6B-3863F0EE4BB9}" name="אפיק" dataDxfId="248"/>
    <tableColumn id="2" xr3:uid="{2F439452-F4BC-4D08-9656-A2CFAFEF41C5}" name="שיעור חשיפה עדכני" dataDxfId="247" dataCellStyle="Percent"/>
    <tableColumn id="3" xr3:uid="{B5E1062A-6678-4CBE-98DF-D7040A367254}" name="שיעור חשיפה צפוי בשנת 2026" dataDxfId="246" dataCellStyle="Percent"/>
    <tableColumn id="4" xr3:uid="{75C90CCA-516C-4882-AEF2-F1B7A752CDD8}" name="טווח סטייה מותר" dataDxfId="245"/>
    <tableColumn id="5" xr3:uid="{44BBD587-22A2-48F0-B8D2-8D3DF5702FEC}" name="גבולות שיעור החשיפה הצפויה" dataDxfId="244"/>
    <tableColumn id="6" xr3:uid="{8B9599B4-663A-45C7-B7BF-F65575828648}" name="מדדי ייחוס" dataDxfId="243" dataCellStyle="Normal 2"/>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49D6011E-7E2B-417E-A897-1A099A301AE8}" name="Table72169" displayName="Table72169" ref="A927:F933" totalsRowShown="0" headerRowDxfId="242" headerRowBorderDxfId="241" tableBorderDxfId="240">
  <tableColumns count="6">
    <tableColumn id="1" xr3:uid="{7981F8B5-C16C-470F-B0AA-9D3674545845}" name="אפיק" dataDxfId="239"/>
    <tableColumn id="2" xr3:uid="{074D8BD5-3E24-459B-A8B9-51FAF57F921A}" name="שיעור חשיפה עדכני" dataDxfId="238" dataCellStyle="Percent"/>
    <tableColumn id="3" xr3:uid="{8A5C79AE-E19B-4559-8B1E-3194F391E8E9}" name="שיעור חשיפה צפוי בשנת 2026" dataDxfId="237" dataCellStyle="Percent"/>
    <tableColumn id="4" xr3:uid="{D606C213-081A-4F2D-B643-544E8E573203}" name="טווח סטייה מותר" dataDxfId="236"/>
    <tableColumn id="5" xr3:uid="{BF057BEC-BF6E-459F-93B7-73B021846EE3}" name="גבולות שיעור החשיפה הצפויה" dataDxfId="235"/>
    <tableColumn id="6" xr3:uid="{726830CA-E8AE-4646-AD58-3138D2D44AA7}" name="מדדי ייחוס" dataDxfId="234" dataCellStyle="Normal 2"/>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9FF96F7C-D965-4821-839D-F21BC6E74399}" name="Table73170" displayName="Table73170" ref="A938:F944" totalsRowShown="0" headerRowDxfId="233" headerRowBorderDxfId="232" tableBorderDxfId="231">
  <tableColumns count="6">
    <tableColumn id="1" xr3:uid="{58DA8152-2BC0-4224-8A67-ABF3F5DDD759}" name="אפיק" dataDxfId="230"/>
    <tableColumn id="2" xr3:uid="{4BCAF2A7-79E9-4322-B9D1-1C582A8B0DA3}" name="שיעור חשיפה עדכני" dataDxfId="229" dataCellStyle="Percent"/>
    <tableColumn id="3" xr3:uid="{E33DF9AD-590F-4389-A2BD-10DCBB1F8494}" name="שיעור חשיפה צפוי בשנת 2026" dataDxfId="228" dataCellStyle="Percent"/>
    <tableColumn id="4" xr3:uid="{DD37EDC7-9B3F-40CA-95BA-B3D461E2B213}" name="טווח סטייה מותר" dataDxfId="227"/>
    <tableColumn id="5" xr3:uid="{E6CAB9D7-7423-4CF1-91DE-354B5A0B94C9}" name="גבולות שיעור החשיפה הצפויה" dataDxfId="226"/>
    <tableColumn id="6" xr3:uid="{AB373C3A-F6BD-48FD-9862-A92D03D72876}" name="מדדי ייחוס" dataDxfId="225" dataCellStyle="Normal 2"/>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43C52FE2-7FE1-4BDF-B61E-1F6BE0753447}" name="Table74171" displayName="Table74171" ref="A949:F955" totalsRowShown="0" headerRowDxfId="224" headerRowBorderDxfId="223" tableBorderDxfId="222">
  <tableColumns count="6">
    <tableColumn id="1" xr3:uid="{6102960F-0932-4379-BDB9-B978EBFB695E}" name="אפיק" dataDxfId="221"/>
    <tableColumn id="2" xr3:uid="{C213A657-4E4F-43B9-915A-25B964217774}" name="שיעור חשיפה עדכני" dataDxfId="220" dataCellStyle="Percent"/>
    <tableColumn id="3" xr3:uid="{2C42D55B-78B5-4144-AFC2-30328F8E2ECF}" name="שיעור חשיפה צפוי בשנת 2026" dataDxfId="219" dataCellStyle="Percent"/>
    <tableColumn id="4" xr3:uid="{2E56C8D3-5DD0-4327-92C2-77461C4E3D92}" name="טווח סטייה מותר" dataDxfId="218"/>
    <tableColumn id="5" xr3:uid="{89D19560-C230-4FBC-A666-5BF9DD504F92}" name="גבולות שיעור החשיפה הצפויה" dataDxfId="217"/>
    <tableColumn id="6" xr3:uid="{AFF93A3D-F44F-4B4D-969D-72B89B5D1A2F}" name="מדדי ייחוס" dataDxfId="216" dataCellStyle="Normal 2"/>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84E9BD5D-897E-46A4-8A9F-A9A9EF9CBB7D}" name="Table75172" displayName="Table75172" ref="A960:F967" totalsRowShown="0" headerRowDxfId="215" headerRowBorderDxfId="214" tableBorderDxfId="213">
  <tableColumns count="6">
    <tableColumn id="1" xr3:uid="{12F98658-EDCF-47FC-8515-D9A7301FA5D8}" name="אפיק" dataDxfId="212"/>
    <tableColumn id="2" xr3:uid="{F5FDBA9D-6320-46B8-A6E3-48F7FF974122}" name="שיעור חשיפה עדכני" dataDxfId="211" dataCellStyle="Percent"/>
    <tableColumn id="3" xr3:uid="{DC0664B4-A1D7-499B-BBFA-4E3138A559F9}" name="שיעור חשיפה צפוי בשנת 2026" dataDxfId="210" dataCellStyle="Percent"/>
    <tableColumn id="4" xr3:uid="{A84B02C0-084A-4E2D-8512-F911C497377A}" name="טווח סטייה מותר" dataDxfId="209"/>
    <tableColumn id="5" xr3:uid="{F89BE2F2-37B5-4F69-857A-9B6E4A315642}" name="גבולות שיעור החשיפה הצפויה" dataDxfId="208"/>
    <tableColumn id="6" xr3:uid="{7197F7AA-5B22-467E-A7E0-6E16D167266E}" name="מדדי ייחוס" dataDxfId="207" dataCellStyle="Normal 2"/>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4C1238F4-43B5-40AC-98A1-9771FB0F54B7}" name="Table76173" displayName="Table76173" ref="A972:F978" totalsRowShown="0" headerRowDxfId="206" headerRowBorderDxfId="205" tableBorderDxfId="204">
  <tableColumns count="6">
    <tableColumn id="1" xr3:uid="{E693127A-5F96-48C3-A3CE-D4CD069A1113}" name="אפיק" dataDxfId="203"/>
    <tableColumn id="2" xr3:uid="{C62A669C-0EB1-40CE-91A5-1C9DCC590F29}" name="שיעור חשיפה עדכני" dataDxfId="202" dataCellStyle="Percent"/>
    <tableColumn id="3" xr3:uid="{B128EAD1-E791-427E-BE2E-32843BE4CA02}" name="שיעור חשיפה צפוי בשנת 2026" dataDxfId="201" dataCellStyle="Percent"/>
    <tableColumn id="4" xr3:uid="{457ED4C6-E626-445B-BD10-507E9597E297}" name="טווח סטייה מותר" dataDxfId="200"/>
    <tableColumn id="5" xr3:uid="{A3DCB22F-1129-4EE0-8932-9355352434D7}" name="גבולות שיעור החשיפה הצפויה" dataDxfId="199"/>
    <tableColumn id="6" xr3:uid="{F8BBAFA9-F7EE-429E-B2C5-245580872B36}" name="מדדי ייחוס" dataDxfId="198" dataCellStyle="Normal 2"/>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B90124FF-F0D7-45BD-8B21-099AF2F51616}" name="Table77174" displayName="Table77174" ref="A983:F990" totalsRowShown="0" headerRowDxfId="197" headerRowBorderDxfId="196" tableBorderDxfId="195">
  <tableColumns count="6">
    <tableColumn id="1" xr3:uid="{4A06E7D8-C42F-40A8-852C-EFEC69D8B478}" name="אפיק" dataDxfId="194"/>
    <tableColumn id="2" xr3:uid="{C50F4EEF-D21B-45DD-960B-86E66982F9E9}" name="שיעור חשיפה עדכני" dataDxfId="193" dataCellStyle="Percent"/>
    <tableColumn id="3" xr3:uid="{B6D1FD07-C7D7-4577-AE70-1EF1ADDE68B7}" name="שיעור חשיפה צפוי בשנת 2026" dataDxfId="192" dataCellStyle="Percent"/>
    <tableColumn id="4" xr3:uid="{DD741283-3AEF-4504-A09D-217FB37FF87D}" name="טווח סטייה מותר" dataDxfId="191"/>
    <tableColumn id="5" xr3:uid="{9C0B618C-1F1E-479A-BA28-CB7A5915D47D}" name="גבולות שיעור החשיפה הצפויה" dataDxfId="190"/>
    <tableColumn id="6" xr3:uid="{CE0F7444-3D25-45CD-87F2-232403908F82}" name="מדדי ייחוס" dataDxfId="189" dataCellStyle="Normal 2"/>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FA8CB101-CBFA-453F-8FA6-1F37A620B85E}" name="Table78175" displayName="Table78175" ref="A995:F1002" totalsRowShown="0" headerRowDxfId="188" headerRowBorderDxfId="187" tableBorderDxfId="186">
  <tableColumns count="6">
    <tableColumn id="1" xr3:uid="{7CB196AE-1161-490E-8CC5-32F55523D43B}" name="אפיק" dataDxfId="185"/>
    <tableColumn id="2" xr3:uid="{C61795F0-CEAA-4A28-81AD-565DF7FFDCE7}" name="שיעור חשיפה עדכני" dataDxfId="184" dataCellStyle="Percent"/>
    <tableColumn id="3" xr3:uid="{EDC0AE47-EA1A-4233-85F3-E5FB8E7F4208}" name="שיעור חשיפה צפוי בשנת 2026" dataDxfId="183" dataCellStyle="Percent"/>
    <tableColumn id="4" xr3:uid="{BE9F91D6-963F-42CA-AD55-5317BB682E50}" name="טווח סטייה מותר" dataDxfId="182"/>
    <tableColumn id="5" xr3:uid="{0A8E6867-CDC3-48E4-A96A-D3A0DF915867}" name="גבולות שיעור החשיפה הצפויה" dataDxfId="181"/>
    <tableColumn id="6" xr3:uid="{0FCDFD31-A59E-49EA-96CE-677A71FBF41A}" name="מדדי ייחוס" dataDxfId="180" dataCellStyle="Normal 2"/>
  </tableColumns>
  <tableStyleInfo name="TableStyleMedium2"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A59692CC-E14D-4E08-8E0B-E06E9463331C}" name="Table79176" displayName="Table79176" ref="A1007:F1014" totalsRowShown="0" headerRowDxfId="179" headerRowBorderDxfId="178" tableBorderDxfId="177">
  <tableColumns count="6">
    <tableColumn id="1" xr3:uid="{518DF1F1-5987-42F6-89BB-AED8F691E84A}" name="אפיק" dataDxfId="176"/>
    <tableColumn id="2" xr3:uid="{4B71BB54-CA12-4E20-A8CD-84D8FA6BD938}" name="שיעור חשיפה עדכני" dataDxfId="175" dataCellStyle="Percent"/>
    <tableColumn id="3" xr3:uid="{06E62437-ABFF-44AE-8A77-168A77FD6BF8}" name="שיעור חשיפה צפוי בשנת 2026" dataDxfId="174" dataCellStyle="Percent"/>
    <tableColumn id="4" xr3:uid="{2B03FCFF-27A6-4EC8-A4D5-5AD0DA43CF98}" name="טווח סטייה מותר" dataDxfId="173"/>
    <tableColumn id="5" xr3:uid="{A012BD00-5133-4DBF-9E5B-97C7A7FAE789}" name="גבולות שיעור החשיפה הצפויה" dataDxfId="172"/>
    <tableColumn id="6" xr3:uid="{664BF933-1913-42BD-BD2A-9D052A161324}" name="מדדי ייחוס" dataDxfId="171" dataCellStyle="Normal 2"/>
  </tableColumns>
  <tableStyleInfo name="TableStyleMedium2"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0D02A396-F0D7-46B4-81AD-3467AC380604}" name="Table80177" displayName="Table80177" ref="A1019:F1027" totalsRowShown="0" headerRowDxfId="170" headerRowBorderDxfId="169" tableBorderDxfId="168">
  <tableColumns count="6">
    <tableColumn id="1" xr3:uid="{5BC0C156-FF25-4687-A13C-B60C7EB8FABC}" name="אפיק" dataDxfId="167"/>
    <tableColumn id="2" xr3:uid="{EF9FE09F-4C88-4CC8-A6B0-569DE74829B8}" name="שיעור חשיפה עדכני" dataDxfId="166" dataCellStyle="Percent"/>
    <tableColumn id="3" xr3:uid="{3A7FD004-84EC-4FB6-96D5-A5887F581B85}" name="שיעור חשיפה צפוי בשנת 2026" dataDxfId="165" dataCellStyle="Percent"/>
    <tableColumn id="4" xr3:uid="{D44E0E5E-09DF-4872-BAA3-D9F414857639}" name="טווח סטייה מותר" dataDxfId="164"/>
    <tableColumn id="5" xr3:uid="{A200AD68-01DE-41A7-B056-0921313716AA}" name="גבולות שיעור החשיפה הצפויה" dataDxfId="163"/>
    <tableColumn id="6" xr3:uid="{607DAFFC-C41B-4056-AEDE-0619031E8DC1}" name="מדדי ייחוס" dataDxfId="162" dataCellStyle="Normal 2"/>
  </tableColumns>
  <tableStyleInfo name="TableStyleMedium2"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3DD5C313-F12B-4D94-9BEC-3401EB078561}" name="Table81178" displayName="Table81178" ref="A1032:F1039" totalsRowShown="0" headerRowDxfId="161" headerRowBorderDxfId="160" tableBorderDxfId="159">
  <tableColumns count="6">
    <tableColumn id="1" xr3:uid="{36882929-4D5E-4B28-8A2D-52CE7C9F5B41}" name="אפיק" dataDxfId="158"/>
    <tableColumn id="2" xr3:uid="{D307EE0A-6189-4154-8939-AF45302687D1}" name="שיעור חשיפה עדכני" dataDxfId="157" dataCellStyle="Percent"/>
    <tableColumn id="3" xr3:uid="{ABC815AA-F15B-4C89-859C-9D8D47EB752B}" name="שיעור חשיפה צפוי בשנת 2026" dataDxfId="156" dataCellStyle="Percent"/>
    <tableColumn id="4" xr3:uid="{00D781C1-CB83-43D9-85BF-61F4609227A5}" name="טווח סטייה מותר" dataDxfId="155"/>
    <tableColumn id="5" xr3:uid="{EDE2F1B3-E45B-4B9F-9944-62A712444673}" name="גבולות שיעור החשיפה הצפויה" dataDxfId="154"/>
    <tableColumn id="6" xr3:uid="{E60AB76E-9A03-44BA-BE1A-3AEDF8A34489}" name="מדדי ייחוס" dataDxfId="153" dataCellStyle="Normal 2"/>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B8853265-8882-4FC9-952D-2BF744F5EC9E}" name="Table82179" displayName="Table82179" ref="A1044:F1051" totalsRowShown="0" headerRowDxfId="152" headerRowBorderDxfId="151" tableBorderDxfId="150">
  <tableColumns count="6">
    <tableColumn id="1" xr3:uid="{9BDB9C0C-7F4A-41AB-B771-1D7AAF15DC10}" name="אפיק" dataDxfId="149"/>
    <tableColumn id="2" xr3:uid="{C2FC1370-BF38-4D4A-A7C4-79A167B30FBC}" name="שיעור חשיפה עדכני" dataDxfId="148" dataCellStyle="Percent"/>
    <tableColumn id="3" xr3:uid="{C6F53A4F-92C5-499E-8973-0C513A987F2D}" name="שיעור חשיפה צפוי בשנת 2026" dataDxfId="147" dataCellStyle="Percent"/>
    <tableColumn id="4" xr3:uid="{4C16F84E-F90E-4AF1-A831-924E904305B0}" name="טווח סטייה מותר" dataDxfId="146"/>
    <tableColumn id="5" xr3:uid="{E407E6C3-6133-45F3-9C97-5425586C3541}" name="גבולות שיעור החשיפה הצפויה" dataDxfId="145"/>
    <tableColumn id="6" xr3:uid="{960B0D2D-C99A-440A-A8CA-2A281D71C8C0}" name="מדדי ייחוס" dataDxfId="144" dataCellStyle="Normal 2"/>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B91169C5-9756-4BDD-8DD9-1C68DA937BC5}" name="Table83180" displayName="Table83180" ref="A1056:F1063" totalsRowShown="0" headerRowDxfId="143" headerRowBorderDxfId="142" tableBorderDxfId="141">
  <tableColumns count="6">
    <tableColumn id="1" xr3:uid="{AFE4C6F4-AE3D-496E-AA18-E7B5C44BBC5A}" name="אפיק" dataDxfId="140"/>
    <tableColumn id="2" xr3:uid="{BE77DA6F-A654-4DD3-8AE0-A2CFFD5FC9DC}" name="שיעור חשיפה עדכני" dataDxfId="139" dataCellStyle="Percent"/>
    <tableColumn id="3" xr3:uid="{EE97F01F-81D2-4812-B49E-4AD360DE2CCA}" name="שיעור חשיפה צפוי בשנת 2026" dataDxfId="138" dataCellStyle="Percent"/>
    <tableColumn id="4" xr3:uid="{19F805C4-F207-4DFD-A18A-8CDD7AC915B5}" name="טווח סטייה מותר" dataDxfId="137"/>
    <tableColumn id="5" xr3:uid="{F4009E56-0148-4903-A68A-8AC09205B973}" name="גבולות שיעור החשיפה הצפויה" dataDxfId="136"/>
    <tableColumn id="6" xr3:uid="{30462FBA-1BA5-4483-B81C-583B77E0F1A1}" name="מדדי ייחוס" dataDxfId="135" dataCellStyle="Normal 2"/>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324833EE-1F53-4462-95AF-E82BA1E7A4B0}" name="Table84181" displayName="Table84181" ref="A1068:F1075" totalsRowShown="0" headerRowDxfId="134" headerRowBorderDxfId="133" tableBorderDxfId="132">
  <tableColumns count="6">
    <tableColumn id="1" xr3:uid="{FCACA0D9-DC4E-4EC3-84D0-55E20C915920}" name="אפיק" dataDxfId="131"/>
    <tableColumn id="2" xr3:uid="{DAC7FE37-D2C0-43FD-B0D5-343C60E9D8DD}" name="שיעור חשיפה עדכני" dataDxfId="130" dataCellStyle="Percent"/>
    <tableColumn id="3" xr3:uid="{4E7B953B-88B6-4581-BC31-1F13427A932D}" name="שיעור חשיפה צפוי בשנת 2026" dataDxfId="129" dataCellStyle="Percent"/>
    <tableColumn id="4" xr3:uid="{F953066D-839A-4D06-8E45-FAE5D39E41D0}" name="טווח סטייה מותר" dataDxfId="128"/>
    <tableColumn id="5" xr3:uid="{DE050544-5C41-480B-9293-B59831D4BE05}" name="גבולות שיעור החשיפה הצפויה" dataDxfId="127"/>
    <tableColumn id="6" xr3:uid="{A8FBB4BE-5A43-4BE9-B4B5-ED652BA9ECAC}" name="מדדי ייחוס" dataDxfId="126" dataCellStyle="Normal 2"/>
  </tableColumns>
  <tableStyleInfo name="TableStyleMedium2"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2703DC0F-94A5-4455-8C04-53CDBAE72E06}" name="Table85182" displayName="Table85182" ref="A1080:F1087" totalsRowShown="0" headerRowDxfId="125" headerRowBorderDxfId="124" tableBorderDxfId="123">
  <tableColumns count="6">
    <tableColumn id="1" xr3:uid="{BD6D7DD0-36A7-4E4F-8BF0-7D32D82806B8}" name="אפיק" dataDxfId="122"/>
    <tableColumn id="2" xr3:uid="{76FC5BC1-F025-4ED6-93BB-AA0347A58675}" name="שיעור חשיפה עדכני" dataDxfId="121" dataCellStyle="Percent"/>
    <tableColumn id="3" xr3:uid="{655E1923-BDB4-414D-B157-0C21BA177361}" name="שיעור חשיפה צפוי בשנת 2026" dataDxfId="120" dataCellStyle="Percent"/>
    <tableColumn id="4" xr3:uid="{FDB76CF1-7FA3-4664-87B2-A2443509073D}" name="טווח סטייה מותר" dataDxfId="119"/>
    <tableColumn id="5" xr3:uid="{D23B290F-C69C-4A09-A57C-8A69E7754EA7}" name="גבולות שיעור החשיפה הצפויה" dataDxfId="118"/>
    <tableColumn id="6" xr3:uid="{8261B1BA-81E9-425A-BA35-CDB3931EF0F9}" name="מדדי ייחוס" dataDxfId="117" dataCellStyle="Normal 2"/>
  </tableColumns>
  <tableStyleInfo name="TableStyleMedium2"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FD5C83B-DD31-4407-BCE2-0EDD7A687885}" name="Table86183" displayName="Table86183" ref="A1092:F1099" totalsRowShown="0" headerRowDxfId="116" headerRowBorderDxfId="115" tableBorderDxfId="114">
  <tableColumns count="6">
    <tableColumn id="1" xr3:uid="{C44E98E0-5F68-484C-9699-5508BF97AB8C}" name="אפיק" dataDxfId="113"/>
    <tableColumn id="2" xr3:uid="{29B7D608-938C-4B6E-8430-7B1FF7B6C10C}" name="שיעור חשיפה עדכני" dataDxfId="112" dataCellStyle="Percent"/>
    <tableColumn id="3" xr3:uid="{1DE049FD-95B1-45A4-BAE1-D571AD74494B}" name="שיעור חשיפה צפוי בשנת 2026" dataDxfId="111" dataCellStyle="Percent"/>
    <tableColumn id="4" xr3:uid="{22C3380A-1AA7-47C3-851A-9413B4B38458}" name="טווח סטייה מותר" dataDxfId="110"/>
    <tableColumn id="5" xr3:uid="{519335B7-1623-4C06-A828-08AA9BE2A064}" name="גבולות שיעור החשיפה הצפויה" dataDxfId="109"/>
    <tableColumn id="6" xr3:uid="{2932A5BB-C97E-46D5-ACC5-5AF217F59292}" name="מדדי ייחוס" dataDxfId="108" dataCellStyle="Normal 2"/>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AFE2D943-61F9-4D72-A630-1DA930744993}" name="Table87184" displayName="Table87184" ref="A1103:F1115" totalsRowShown="0" headerRowDxfId="107" headerRowBorderDxfId="106" tableBorderDxfId="105">
  <tableColumns count="6">
    <tableColumn id="1" xr3:uid="{E795FE66-1B24-4F90-8EDA-4CA8A565964C}" name="אפיק" dataDxfId="104"/>
    <tableColumn id="2" xr3:uid="{215EE4EE-E0B0-4E6F-B8F6-1D4090F9509A}" name="שיעור חשיפה עדכני" dataDxfId="103" dataCellStyle="Percent"/>
    <tableColumn id="3" xr3:uid="{9DE44384-FAB5-4356-B0D0-67E76F19D231}" name="שיעור חשיפה צפוי בשנת 2026" dataDxfId="102" dataCellStyle="Percent"/>
    <tableColumn id="4" xr3:uid="{C7BCA4DD-E536-4489-BD27-FFD4A49F39F4}" name="טווח סטייה מותר" dataDxfId="101"/>
    <tableColumn id="5" xr3:uid="{FA968B53-DB0C-4249-94FF-05886D4EA38E}" name="גבולות שיעור החשיפה הצפויה" dataDxfId="100"/>
    <tableColumn id="6" xr3:uid="{B586452B-9A7E-43E4-9798-7899538DEC8D}" name="מדדי ייחוס" dataDxfId="99" dataCellStyle="Normal 2"/>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07D0D948-9E84-4FED-BC52-6C5951D6E36F}" name="Table88185" displayName="Table88185" ref="A1119:F1127" totalsRowShown="0" headerRowDxfId="98" headerRowBorderDxfId="97" tableBorderDxfId="96">
  <tableColumns count="6">
    <tableColumn id="1" xr3:uid="{F4C4DF3E-0B67-43BC-A0B4-FCA99AD08320}" name="אפיק" dataDxfId="95"/>
    <tableColumn id="2" xr3:uid="{E71B5730-60C0-4B9F-97EB-AACA38598FC7}" name="שיעור חשיפה עדכני" dataDxfId="94" dataCellStyle="Percent"/>
    <tableColumn id="3" xr3:uid="{3556B9E4-A034-41EA-8257-3988DDC31225}" name="שיעור חשיפה צפוי בשנת 2026" dataDxfId="93" dataCellStyle="Percent"/>
    <tableColumn id="4" xr3:uid="{C251A6E6-41B9-410D-B30E-897CE20B6DE6}" name="טווח סטייה מותר" dataDxfId="92"/>
    <tableColumn id="5" xr3:uid="{EC65E1F5-1B13-4D9C-965F-77DFEB408FF6}" name="גבולות שיעור החשיפה הצפויה" dataDxfId="91"/>
    <tableColumn id="6" xr3:uid="{EF2CE399-A58F-4F03-B2FC-05328ACC3A84}" name="מדדי ייחוס" dataDxfId="90" dataCellStyle="Normal 2"/>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B461F975-F7A4-463A-A265-D9732352453B}" name="Table89186" displayName="Table89186" ref="A1131:F1138" totalsRowShown="0" headerRowDxfId="89" headerRowBorderDxfId="88" tableBorderDxfId="87">
  <tableColumns count="6">
    <tableColumn id="1" xr3:uid="{60022796-B5A4-49B1-A9A0-70179B3C4E96}" name="אפיק" dataDxfId="86"/>
    <tableColumn id="2" xr3:uid="{0E0EA655-30D5-4170-BF28-B95E0FC1E2EA}" name="שיעור חשיפה עדכני" dataDxfId="85" dataCellStyle="Percent"/>
    <tableColumn id="3" xr3:uid="{37983672-CC8C-4D23-9C4D-FE40495533B8}" name="שיעור חשיפה צפוי בשנת 2026" dataDxfId="84" dataCellStyle="Percent"/>
    <tableColumn id="4" xr3:uid="{4429173F-409F-4D5E-A964-C91A2C957D7D}" name="טווח סטייה מותר" dataDxfId="83"/>
    <tableColumn id="5" xr3:uid="{C8053352-6000-4C4E-80CB-F9B07EC2063C}" name="גבולות שיעור החשיפה הצפויה" dataDxfId="82"/>
    <tableColumn id="6" xr3:uid="{820AC9F2-6037-4FC9-B845-8A4EE127A4C9}" name="מדדי ייחוס" dataDxfId="81" dataCellStyle="Normal 2"/>
  </tableColumns>
  <tableStyleInfo name="TableStyleMedium2"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BC1BD654-C89E-430D-980C-0701D321680B}" name="Table90187" displayName="Table90187" ref="A1142:F1153" totalsRowShown="0" headerRowDxfId="80" headerRowBorderDxfId="79" tableBorderDxfId="78">
  <tableColumns count="6">
    <tableColumn id="1" xr3:uid="{AE1675AA-B811-4B55-B8AE-FE88652AFB8F}" name="אפיק" dataDxfId="77"/>
    <tableColumn id="2" xr3:uid="{28253D09-3A4A-4B06-A0D3-9ADC6CF4D98E}" name="שיעור חשיפה עדכני" dataDxfId="76" dataCellStyle="Percent"/>
    <tableColumn id="3" xr3:uid="{ADCA7E54-31B2-4595-BDDD-D5953660FEEC}" name="שיעור חשיפה צפוי בשנת 2026" dataDxfId="75" dataCellStyle="Percent"/>
    <tableColumn id="4" xr3:uid="{63C2031A-7604-4399-B97D-0142BCAB29CA}" name="טווח סטייה מותר" dataDxfId="74"/>
    <tableColumn id="5" xr3:uid="{8B12335F-8600-4D0C-83BF-BF20A1DFD802}" name="גבולות שיעור החשיפה הצפויה" dataDxfId="73"/>
    <tableColumn id="6" xr3:uid="{2339D85E-12FA-4E49-8484-A0E2306DECDB}" name="מדדי ייחוס" dataDxfId="72" dataCellStyle="Normal 2"/>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55340AAD-F0CD-4F44-96BA-63D0EB659405}" name="Table91188" displayName="Table91188" ref="A1157:F1166" totalsRowShown="0" headerRowDxfId="71" headerRowBorderDxfId="70" tableBorderDxfId="69">
  <tableColumns count="6">
    <tableColumn id="1" xr3:uid="{D1AAA1B3-2618-4D15-BD04-3014BA2E23CD}" name="אפיק" dataDxfId="68"/>
    <tableColumn id="2" xr3:uid="{792E47BD-EA17-47A2-AA35-B40B9026CB3F}" name="שיעור חשיפה עדכני" dataDxfId="67" dataCellStyle="Percent"/>
    <tableColumn id="3" xr3:uid="{626BD318-0085-4AF9-9606-056E031D82C8}" name="שיעור חשיפה צפוי בשנת 2026" dataDxfId="66" dataCellStyle="Percent"/>
    <tableColumn id="4" xr3:uid="{1B0791CC-55CE-4403-837B-ECC65275C80F}" name="טווח סטייה מותר" dataDxfId="65"/>
    <tableColumn id="5" xr3:uid="{C22AA0B3-AB71-4C73-B5C2-234354F08BAE}" name="גבולות שיעור החשיפה הצפויה" dataDxfId="64"/>
    <tableColumn id="6" xr3:uid="{9704A69D-ACA8-4277-8595-A94401B890CF}" name="מדדי ייחוס" dataDxfId="63" dataCellStyle="Normal 2"/>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C076B6D-CF87-42AE-80A5-FD8113518747}" name="Table92189" displayName="Table92189" ref="A1170:F1178" totalsRowShown="0" headerRowDxfId="62" headerRowBorderDxfId="61" tableBorderDxfId="60">
  <tableColumns count="6">
    <tableColumn id="1" xr3:uid="{F022ADA1-9CC7-4171-9755-1CC69DECDCC8}" name="אפיק" dataDxfId="59"/>
    <tableColumn id="2" xr3:uid="{41B3DC00-AB50-4D0A-AF15-DF5101D446B1}" name="שיעור חשיפה עדכני" dataDxfId="58" dataCellStyle="Percent"/>
    <tableColumn id="3" xr3:uid="{4CCABD15-CB7F-4EDC-A6B2-466F3A3747D0}" name="שיעור חשיפה צפוי בשנת 2026" dataDxfId="57" dataCellStyle="Percent"/>
    <tableColumn id="4" xr3:uid="{BF7B3F11-B0C2-4DFD-8D7A-FA60A6BA1B5D}" name="טווח סטייה מותר" dataDxfId="56"/>
    <tableColumn id="5" xr3:uid="{DD3C5C4A-F595-4899-A600-76DB44D8BCE2}" name="גבולות שיעור החשיפה הצפויה" dataDxfId="55"/>
    <tableColumn id="6" xr3:uid="{20547136-08F4-408E-95BE-4460E062D9A6}" name="מדדי ייחוס" dataDxfId="54" dataCellStyle="Normal 2"/>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A4750DD9-1783-472F-B973-4F7AAAA9F76C}" name="Table93190" displayName="Table93190" ref="A1182:F1189" totalsRowShown="0" headerRowDxfId="53" headerRowBorderDxfId="52" tableBorderDxfId="51">
  <tableColumns count="6">
    <tableColumn id="1" xr3:uid="{6427C115-3817-47F9-B357-D828FDE1EADB}" name="אפיק" dataDxfId="50"/>
    <tableColumn id="2" xr3:uid="{2827687F-0D34-4BBB-AEF0-366D43A3AC66}" name="שיעור חשיפה עדכני" dataDxfId="49" dataCellStyle="Percent"/>
    <tableColumn id="3" xr3:uid="{FDDABBF4-2881-4E3F-A959-35F899CD3630}" name="שיעור חשיפה צפוי בשנת 2026" dataDxfId="48" dataCellStyle="Percent"/>
    <tableColumn id="4" xr3:uid="{FAE46D04-B300-4398-8C3C-7D7B497328BD}" name="טווח סטייה מותר" dataDxfId="47"/>
    <tableColumn id="5" xr3:uid="{2EEDFA9D-7B36-4826-AEF5-E80C40220420}" name="גבולות שיעור החשיפה הצפויה" dataDxfId="46"/>
    <tableColumn id="6" xr3:uid="{19A7D677-2A50-4695-80B5-362C5E27754F}" name="מדדי ייחוס" dataDxfId="45" dataCellStyle="Normal 2"/>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F0CA5EB4-AE40-4E1B-8BCE-8950491E855E}" name="Table94191" displayName="Table94191" ref="A1193:F1200" totalsRowShown="0" headerRowDxfId="44" headerRowBorderDxfId="43" tableBorderDxfId="42">
  <tableColumns count="6">
    <tableColumn id="1" xr3:uid="{14278F02-4153-4F6D-972E-E145B1AA3C8C}" name="אפיק" dataDxfId="41"/>
    <tableColumn id="2" xr3:uid="{F42B8BE3-6C62-43E4-B7B9-34576461FE53}" name="שיעור חשיפה עדכני" dataDxfId="40" dataCellStyle="Percent"/>
    <tableColumn id="3" xr3:uid="{63189CE9-EE02-4AA5-BE26-8A3C8A522F20}" name="שיעור חשיפה צפוי בשנת 2026" dataDxfId="39" dataCellStyle="Percent"/>
    <tableColumn id="4" xr3:uid="{610D83E3-BAEA-43EA-9906-8B89CC00F552}" name="טווח סטייה מותר" dataDxfId="38"/>
    <tableColumn id="5" xr3:uid="{DA6648D2-5CAA-4F2C-8DA3-B3F859A50D7B}" name="גבולות שיעור החשיפה הצפויה" dataDxfId="37"/>
    <tableColumn id="6" xr3:uid="{04740518-5C1F-4015-8C90-90A6AF28C955}" name="מדדי ייחוס" dataDxfId="36" dataCellStyle="Normal 2"/>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FC9389B0-0384-4906-A986-42BDF64576F2}" name="Table95192" displayName="Table95192" ref="A1204:F1210" totalsRowShown="0" headerRowDxfId="35" headerRowBorderDxfId="34" tableBorderDxfId="33">
  <tableColumns count="6">
    <tableColumn id="1" xr3:uid="{260202A4-9B68-49E3-B0F8-BDE5A3DE4D18}" name="אפיק" dataDxfId="32"/>
    <tableColumn id="2" xr3:uid="{E59860F8-FD28-4F7F-96C4-6A805189B23F}" name="שיעור חשיפה עדכני" dataDxfId="31" dataCellStyle="Percent"/>
    <tableColumn id="3" xr3:uid="{33BBE305-9250-4017-BB4E-AF35C09FDDFB}" name="שיעור חשיפה צפוי בשנת 2026" dataDxfId="30" dataCellStyle="Percent"/>
    <tableColumn id="4" xr3:uid="{673E6618-F8EC-4B34-AD3A-120B083B7E86}" name="טווח סטייה מותר" dataDxfId="29"/>
    <tableColumn id="5" xr3:uid="{21D6DB79-4B63-43F0-9D59-49CF99F23CEA}" name="גבולות שיעור החשיפה הצפויה" dataDxfId="28"/>
    <tableColumn id="6" xr3:uid="{EBE07D4E-579C-467F-B5B5-A2863DDC719A}" name="מדדי ייחוס" dataDxfId="27" dataCellStyle="Normal 2"/>
  </tableColumns>
  <tableStyleInfo name="TableStyleMedium2"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CC920A19-27A7-40DC-BA97-AC8C5C5ABC21}" name="Table96193" displayName="Table96193" ref="A1214:F1221" totalsRowShown="0" headerRowDxfId="26" headerRowBorderDxfId="25" tableBorderDxfId="24">
  <tableColumns count="6">
    <tableColumn id="1" xr3:uid="{9C79DD45-42AB-4E4F-8528-73F1DC70DEFF}" name="אפיק" dataDxfId="23"/>
    <tableColumn id="2" xr3:uid="{9D1992AC-2AD1-4525-874C-0E745F701660}" name="שיעור חשיפה עדכני" dataDxfId="22" dataCellStyle="Percent"/>
    <tableColumn id="3" xr3:uid="{061ABCD3-26B8-4F1A-9794-0DD11815F3DD}" name="שיעור חשיפה צפוי בשנת 2026" dataDxfId="21" dataCellStyle="Percent"/>
    <tableColumn id="4" xr3:uid="{D963A8B2-161F-4BE6-88D8-8F1C6CA69D9D}" name="טווח סטייה מותר" dataDxfId="20"/>
    <tableColumn id="5" xr3:uid="{103F8104-9590-42CC-9344-1668C423A63C}" name="גבולות שיעור החשיפה הצפויה" dataDxfId="19"/>
    <tableColumn id="6" xr3:uid="{CB2DB61C-2386-4C82-99DB-E68BB7F4B035}" name="מדדי ייחוס" dataDxfId="18" dataCellStyle="Normal 2"/>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1DA05BA9-17D7-41B7-A23D-FBF2AB563975}" name="Table97194" displayName="Table97194" ref="A1225:F1232" totalsRowShown="0" headerRowDxfId="17" headerRowBorderDxfId="16" tableBorderDxfId="15">
  <tableColumns count="6">
    <tableColumn id="1" xr3:uid="{48A42343-6179-4115-AA8A-42F9B9E1EC44}" name="אפיק" dataDxfId="14"/>
    <tableColumn id="2" xr3:uid="{4BBE74E5-692D-4CBE-B038-D7463C2F5FE2}" name="שיעור חשיפה עדכני" dataDxfId="13" dataCellStyle="Percent"/>
    <tableColumn id="3" xr3:uid="{7825A8D6-FCD7-45F5-A4D6-8215F2D8BAE3}" name="שיעור חשיפה צפוי בשנת 2026" dataDxfId="12" dataCellStyle="Percent"/>
    <tableColumn id="4" xr3:uid="{0EC07D6C-B4BB-44A2-8599-2BE182DFA11F}" name="טווח סטייה מותר" dataDxfId="11"/>
    <tableColumn id="5" xr3:uid="{DB2BF037-851E-4CEA-91B5-DB2CC2D98072}" name="גבולות שיעור החשיפה הצפויה" dataDxfId="10"/>
    <tableColumn id="6" xr3:uid="{30E6F0C4-E424-418F-9875-98064CA8B972}" name="מדדי ייחוס" dataDxfId="9" dataCellStyle="Normal 2"/>
  </tableColumns>
  <tableStyleInfo name="TableStyleMedium2"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8F63808C-AEC2-448D-A1E8-9BBAAD1FB7DF}" name="Table4113195" displayName="Table4113195" ref="A581:F588" totalsRowShown="0" headerRowDxfId="8" headerRowBorderDxfId="7" tableBorderDxfId="6">
  <tableColumns count="6">
    <tableColumn id="1" xr3:uid="{1D138625-0AD7-4AB3-A79C-609B06C08F30}" name="אפיק" dataDxfId="5"/>
    <tableColumn id="2" xr3:uid="{DED03132-51C9-4C67-8FF0-025047EB31DE}" name="שיעור חשיפה עדכני" dataDxfId="4" dataCellStyle="Percent"/>
    <tableColumn id="3" xr3:uid="{19C99B40-31BA-48A5-85A3-66516CC35AC0}" name="שיעור חשיפה צפוי בשנת 2026" dataDxfId="3" dataCellStyle="Percent"/>
    <tableColumn id="4" xr3:uid="{D8A918F3-A93F-46F6-87F5-24034EB90BB7}" name="טווח סטייה מותר" dataDxfId="2"/>
    <tableColumn id="5" xr3:uid="{FFD65974-047D-4FD1-AC4A-7A7DE60ED423}" name="גבולות שיעור החשיפה הצפויה" dataDxfId="1"/>
    <tableColumn id="6" xr3:uid="{9A0127D0-7A9F-4C34-9995-CA9D040CEEDA}" name="מדדי ייחוס" dataDxfId="0" dataCellStyle="Normal 2"/>
  </tableColumns>
  <tableStyleInfo name="TableStyleMedium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6" Type="http://schemas.openxmlformats.org/officeDocument/2006/relationships/table" Target="../tables/table26.xml"/><Relationship Id="rId21" Type="http://schemas.openxmlformats.org/officeDocument/2006/relationships/table" Target="../tables/table21.xml"/><Relationship Id="rId42" Type="http://schemas.openxmlformats.org/officeDocument/2006/relationships/table" Target="../tables/table42.xml"/><Relationship Id="rId47" Type="http://schemas.openxmlformats.org/officeDocument/2006/relationships/table" Target="../tables/table47.xml"/><Relationship Id="rId63" Type="http://schemas.openxmlformats.org/officeDocument/2006/relationships/table" Target="../tables/table63.xml"/><Relationship Id="rId68" Type="http://schemas.openxmlformats.org/officeDocument/2006/relationships/table" Target="../tables/table68.xml"/><Relationship Id="rId84" Type="http://schemas.openxmlformats.org/officeDocument/2006/relationships/table" Target="../tables/table84.xml"/><Relationship Id="rId89" Type="http://schemas.openxmlformats.org/officeDocument/2006/relationships/table" Target="../tables/table89.xml"/><Relationship Id="rId16" Type="http://schemas.openxmlformats.org/officeDocument/2006/relationships/table" Target="../tables/table16.xml"/><Relationship Id="rId11" Type="http://schemas.openxmlformats.org/officeDocument/2006/relationships/table" Target="../tables/table11.xml"/><Relationship Id="rId32" Type="http://schemas.openxmlformats.org/officeDocument/2006/relationships/table" Target="../tables/table32.xml"/><Relationship Id="rId37" Type="http://schemas.openxmlformats.org/officeDocument/2006/relationships/table" Target="../tables/table37.xml"/><Relationship Id="rId53" Type="http://schemas.openxmlformats.org/officeDocument/2006/relationships/table" Target="../tables/table53.xml"/><Relationship Id="rId58" Type="http://schemas.openxmlformats.org/officeDocument/2006/relationships/table" Target="../tables/table58.xml"/><Relationship Id="rId74" Type="http://schemas.openxmlformats.org/officeDocument/2006/relationships/table" Target="../tables/table74.xml"/><Relationship Id="rId79" Type="http://schemas.openxmlformats.org/officeDocument/2006/relationships/table" Target="../tables/table79.xml"/><Relationship Id="rId5" Type="http://schemas.openxmlformats.org/officeDocument/2006/relationships/table" Target="../tables/table5.xml"/><Relationship Id="rId90" Type="http://schemas.openxmlformats.org/officeDocument/2006/relationships/table" Target="../tables/table90.xml"/><Relationship Id="rId95" Type="http://schemas.openxmlformats.org/officeDocument/2006/relationships/table" Target="../tables/table95.xml"/><Relationship Id="rId22" Type="http://schemas.openxmlformats.org/officeDocument/2006/relationships/table" Target="../tables/table22.xml"/><Relationship Id="rId27" Type="http://schemas.openxmlformats.org/officeDocument/2006/relationships/table" Target="../tables/table27.xml"/><Relationship Id="rId43" Type="http://schemas.openxmlformats.org/officeDocument/2006/relationships/table" Target="../tables/table43.xml"/><Relationship Id="rId48" Type="http://schemas.openxmlformats.org/officeDocument/2006/relationships/table" Target="../tables/table48.xml"/><Relationship Id="rId64" Type="http://schemas.openxmlformats.org/officeDocument/2006/relationships/table" Target="../tables/table64.xml"/><Relationship Id="rId69" Type="http://schemas.openxmlformats.org/officeDocument/2006/relationships/table" Target="../tables/table69.xml"/><Relationship Id="rId80" Type="http://schemas.openxmlformats.org/officeDocument/2006/relationships/table" Target="../tables/table80.xml"/><Relationship Id="rId85" Type="http://schemas.openxmlformats.org/officeDocument/2006/relationships/table" Target="../tables/table85.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59" Type="http://schemas.openxmlformats.org/officeDocument/2006/relationships/table" Target="../tables/table59.xml"/><Relationship Id="rId67" Type="http://schemas.openxmlformats.org/officeDocument/2006/relationships/table" Target="../tables/table67.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62" Type="http://schemas.openxmlformats.org/officeDocument/2006/relationships/table" Target="../tables/table62.xml"/><Relationship Id="rId70" Type="http://schemas.openxmlformats.org/officeDocument/2006/relationships/table" Target="../tables/table70.xml"/><Relationship Id="rId75" Type="http://schemas.openxmlformats.org/officeDocument/2006/relationships/table" Target="../tables/table75.xml"/><Relationship Id="rId83" Type="http://schemas.openxmlformats.org/officeDocument/2006/relationships/table" Target="../tables/table83.xml"/><Relationship Id="rId88" Type="http://schemas.openxmlformats.org/officeDocument/2006/relationships/table" Target="../tables/table88.xml"/><Relationship Id="rId91" Type="http://schemas.openxmlformats.org/officeDocument/2006/relationships/table" Target="../tables/table91.xml"/><Relationship Id="rId96" Type="http://schemas.openxmlformats.org/officeDocument/2006/relationships/table" Target="../tables/table96.xml"/><Relationship Id="rId1" Type="http://schemas.openxmlformats.org/officeDocument/2006/relationships/table" Target="../tables/table1.x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 Id="rId60" Type="http://schemas.openxmlformats.org/officeDocument/2006/relationships/table" Target="../tables/table60.xml"/><Relationship Id="rId65" Type="http://schemas.openxmlformats.org/officeDocument/2006/relationships/table" Target="../tables/table65.xml"/><Relationship Id="rId73" Type="http://schemas.openxmlformats.org/officeDocument/2006/relationships/table" Target="../tables/table73.xml"/><Relationship Id="rId78" Type="http://schemas.openxmlformats.org/officeDocument/2006/relationships/table" Target="../tables/table78.xml"/><Relationship Id="rId81" Type="http://schemas.openxmlformats.org/officeDocument/2006/relationships/table" Target="../tables/table81.xml"/><Relationship Id="rId86" Type="http://schemas.openxmlformats.org/officeDocument/2006/relationships/table" Target="../tables/table86.xml"/><Relationship Id="rId94" Type="http://schemas.openxmlformats.org/officeDocument/2006/relationships/table" Target="../tables/table94.xml"/><Relationship Id="rId4" Type="http://schemas.openxmlformats.org/officeDocument/2006/relationships/table" Target="../tables/table4.xml"/><Relationship Id="rId9" Type="http://schemas.openxmlformats.org/officeDocument/2006/relationships/table" Target="../tables/table9.xml"/><Relationship Id="rId13" Type="http://schemas.openxmlformats.org/officeDocument/2006/relationships/table" Target="../tables/table13.xml"/><Relationship Id="rId18" Type="http://schemas.openxmlformats.org/officeDocument/2006/relationships/table" Target="../tables/table18.xml"/><Relationship Id="rId39" Type="http://schemas.openxmlformats.org/officeDocument/2006/relationships/table" Target="../tables/table39.xml"/><Relationship Id="rId34" Type="http://schemas.openxmlformats.org/officeDocument/2006/relationships/table" Target="../tables/table34.xml"/><Relationship Id="rId50" Type="http://schemas.openxmlformats.org/officeDocument/2006/relationships/table" Target="../tables/table50.xml"/><Relationship Id="rId55" Type="http://schemas.openxmlformats.org/officeDocument/2006/relationships/table" Target="../tables/table55.xml"/><Relationship Id="rId76" Type="http://schemas.openxmlformats.org/officeDocument/2006/relationships/table" Target="../tables/table76.xml"/><Relationship Id="rId97" Type="http://schemas.openxmlformats.org/officeDocument/2006/relationships/table" Target="../tables/table97.xml"/><Relationship Id="rId7" Type="http://schemas.openxmlformats.org/officeDocument/2006/relationships/table" Target="../tables/table7.xml"/><Relationship Id="rId71" Type="http://schemas.openxmlformats.org/officeDocument/2006/relationships/table" Target="../tables/table71.xml"/><Relationship Id="rId92" Type="http://schemas.openxmlformats.org/officeDocument/2006/relationships/table" Target="../tables/table92.xml"/><Relationship Id="rId2" Type="http://schemas.openxmlformats.org/officeDocument/2006/relationships/table" Target="../tables/table2.xml"/><Relationship Id="rId29" Type="http://schemas.openxmlformats.org/officeDocument/2006/relationships/table" Target="../tables/table29.xml"/><Relationship Id="rId24" Type="http://schemas.openxmlformats.org/officeDocument/2006/relationships/table" Target="../tables/table24.xml"/><Relationship Id="rId40" Type="http://schemas.openxmlformats.org/officeDocument/2006/relationships/table" Target="../tables/table40.xml"/><Relationship Id="rId45" Type="http://schemas.openxmlformats.org/officeDocument/2006/relationships/table" Target="../tables/table45.xml"/><Relationship Id="rId66" Type="http://schemas.openxmlformats.org/officeDocument/2006/relationships/table" Target="../tables/table66.xml"/><Relationship Id="rId87" Type="http://schemas.openxmlformats.org/officeDocument/2006/relationships/table" Target="../tables/table87.xml"/><Relationship Id="rId61" Type="http://schemas.openxmlformats.org/officeDocument/2006/relationships/table" Target="../tables/table61.xml"/><Relationship Id="rId82" Type="http://schemas.openxmlformats.org/officeDocument/2006/relationships/table" Target="../tables/table82.xml"/><Relationship Id="rId19" Type="http://schemas.openxmlformats.org/officeDocument/2006/relationships/table" Target="../tables/table19.xml"/><Relationship Id="rId14" Type="http://schemas.openxmlformats.org/officeDocument/2006/relationships/table" Target="../tables/table14.xml"/><Relationship Id="rId30" Type="http://schemas.openxmlformats.org/officeDocument/2006/relationships/table" Target="../tables/table30.xml"/><Relationship Id="rId35" Type="http://schemas.openxmlformats.org/officeDocument/2006/relationships/table" Target="../tables/table35.xml"/><Relationship Id="rId56" Type="http://schemas.openxmlformats.org/officeDocument/2006/relationships/table" Target="../tables/table56.xml"/><Relationship Id="rId77" Type="http://schemas.openxmlformats.org/officeDocument/2006/relationships/table" Target="../tables/table77.xml"/><Relationship Id="rId8" Type="http://schemas.openxmlformats.org/officeDocument/2006/relationships/table" Target="../tables/table8.xml"/><Relationship Id="rId51" Type="http://schemas.openxmlformats.org/officeDocument/2006/relationships/table" Target="../tables/table51.xml"/><Relationship Id="rId72" Type="http://schemas.openxmlformats.org/officeDocument/2006/relationships/table" Target="../tables/table72.xml"/><Relationship Id="rId93" Type="http://schemas.openxmlformats.org/officeDocument/2006/relationships/table" Target="../tables/table9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825C1-83A0-46AB-9CD8-8062CB59C934}">
  <dimension ref="A1:B37"/>
  <sheetViews>
    <sheetView rightToLeft="1" topLeftCell="A4" workbookViewId="0">
      <selection activeCell="A8" sqref="A8"/>
    </sheetView>
  </sheetViews>
  <sheetFormatPr defaultRowHeight="14.25" x14ac:dyDescent="0.2"/>
  <cols>
    <col min="1" max="1" width="100.625" customWidth="1"/>
    <col min="2" max="2" width="7.5" bestFit="1" customWidth="1"/>
  </cols>
  <sheetData>
    <row r="1" spans="1:2" ht="52.5" x14ac:dyDescent="0.2">
      <c r="A1" s="28" t="s">
        <v>334</v>
      </c>
      <c r="B1" s="52" t="s">
        <v>333</v>
      </c>
    </row>
    <row r="2" spans="1:2" ht="15" x14ac:dyDescent="0.2">
      <c r="A2" s="29"/>
      <c r="B2" s="52"/>
    </row>
    <row r="3" spans="1:2" ht="42.75" x14ac:dyDescent="0.2">
      <c r="A3" s="30" t="s">
        <v>335</v>
      </c>
      <c r="B3" s="52"/>
    </row>
    <row r="4" spans="1:2" ht="28.5" x14ac:dyDescent="0.2">
      <c r="A4" s="30" t="s">
        <v>336</v>
      </c>
      <c r="B4" s="52"/>
    </row>
    <row r="5" spans="1:2" ht="15" x14ac:dyDescent="0.2">
      <c r="A5" s="31" t="s">
        <v>337</v>
      </c>
      <c r="B5" s="52"/>
    </row>
    <row r="6" spans="1:2" ht="28.5" x14ac:dyDescent="0.2">
      <c r="A6" s="30" t="s">
        <v>338</v>
      </c>
      <c r="B6" s="52"/>
    </row>
    <row r="7" spans="1:2" ht="71.25" x14ac:dyDescent="0.2">
      <c r="A7" s="30" t="s">
        <v>339</v>
      </c>
      <c r="B7" s="52"/>
    </row>
    <row r="8" spans="1:2" ht="57" x14ac:dyDescent="0.2">
      <c r="A8" s="30" t="s">
        <v>340</v>
      </c>
      <c r="B8" s="52"/>
    </row>
    <row r="9" spans="1:2" ht="15" x14ac:dyDescent="0.2">
      <c r="A9" s="31" t="s">
        <v>341</v>
      </c>
      <c r="B9" s="52"/>
    </row>
    <row r="10" spans="1:2" ht="57" x14ac:dyDescent="0.2">
      <c r="A10" s="30" t="s">
        <v>342</v>
      </c>
      <c r="B10" s="52"/>
    </row>
    <row r="11" spans="1:2" x14ac:dyDescent="0.2">
      <c r="A11" s="30"/>
      <c r="B11" s="52"/>
    </row>
    <row r="12" spans="1:2" ht="42.75" x14ac:dyDescent="0.2">
      <c r="A12" s="30" t="s">
        <v>343</v>
      </c>
      <c r="B12" s="52"/>
    </row>
    <row r="13" spans="1:2" x14ac:dyDescent="0.2">
      <c r="A13" s="30"/>
      <c r="B13" s="52"/>
    </row>
    <row r="14" spans="1:2" ht="42.75" x14ac:dyDescent="0.2">
      <c r="A14" s="30" t="s">
        <v>344</v>
      </c>
      <c r="B14" s="52"/>
    </row>
    <row r="15" spans="1:2" x14ac:dyDescent="0.2">
      <c r="A15" s="30"/>
      <c r="B15" s="52"/>
    </row>
    <row r="16" spans="1:2" ht="71.25" x14ac:dyDescent="0.2">
      <c r="A16" s="30" t="s">
        <v>345</v>
      </c>
      <c r="B16" s="52"/>
    </row>
    <row r="17" spans="1:2" x14ac:dyDescent="0.2">
      <c r="A17" s="30"/>
      <c r="B17" s="52"/>
    </row>
    <row r="18" spans="1:2" ht="57" x14ac:dyDescent="0.2">
      <c r="A18" s="30" t="s">
        <v>346</v>
      </c>
      <c r="B18" s="52"/>
    </row>
    <row r="19" spans="1:2" ht="15" x14ac:dyDescent="0.2">
      <c r="A19" s="31" t="s">
        <v>347</v>
      </c>
      <c r="B19" s="52"/>
    </row>
    <row r="20" spans="1:2" ht="28.5" x14ac:dyDescent="0.2">
      <c r="A20" s="30" t="s">
        <v>348</v>
      </c>
      <c r="B20" s="52"/>
    </row>
    <row r="21" spans="1:2" x14ac:dyDescent="0.2">
      <c r="A21" s="30"/>
      <c r="B21" s="52"/>
    </row>
    <row r="22" spans="1:2" ht="42.75" x14ac:dyDescent="0.2">
      <c r="A22" s="30" t="s">
        <v>349</v>
      </c>
      <c r="B22" s="52"/>
    </row>
    <row r="23" spans="1:2" ht="15" x14ac:dyDescent="0.2">
      <c r="A23" s="31" t="s">
        <v>350</v>
      </c>
      <c r="B23" s="52"/>
    </row>
    <row r="24" spans="1:2" ht="28.5" x14ac:dyDescent="0.2">
      <c r="A24" s="30" t="s">
        <v>351</v>
      </c>
      <c r="B24" s="52"/>
    </row>
    <row r="25" spans="1:2" x14ac:dyDescent="0.2">
      <c r="A25" s="30"/>
      <c r="B25" s="52"/>
    </row>
    <row r="26" spans="1:2" ht="28.5" x14ac:dyDescent="0.2">
      <c r="A26" s="30" t="s">
        <v>352</v>
      </c>
      <c r="B26" s="52"/>
    </row>
    <row r="27" spans="1:2" x14ac:dyDescent="0.2">
      <c r="A27" s="30"/>
      <c r="B27" s="52"/>
    </row>
    <row r="28" spans="1:2" ht="42.75" x14ac:dyDescent="0.2">
      <c r="A28" s="30" t="s">
        <v>353</v>
      </c>
      <c r="B28" s="52"/>
    </row>
    <row r="29" spans="1:2" ht="15" x14ac:dyDescent="0.2">
      <c r="A29" s="31" t="s">
        <v>354</v>
      </c>
      <c r="B29" s="52"/>
    </row>
    <row r="30" spans="1:2" ht="42.75" x14ac:dyDescent="0.2">
      <c r="A30" s="30" t="s">
        <v>355</v>
      </c>
      <c r="B30" s="52"/>
    </row>
    <row r="31" spans="1:2" ht="15" x14ac:dyDescent="0.2">
      <c r="A31" s="31" t="s">
        <v>356</v>
      </c>
      <c r="B31" s="52"/>
    </row>
    <row r="32" spans="1:2" ht="42.75" x14ac:dyDescent="0.2">
      <c r="A32" s="30" t="s">
        <v>357</v>
      </c>
      <c r="B32" s="52"/>
    </row>
    <row r="33" spans="1:2" x14ac:dyDescent="0.2">
      <c r="A33" s="30"/>
      <c r="B33" s="52"/>
    </row>
    <row r="34" spans="1:2" ht="28.5" x14ac:dyDescent="0.2">
      <c r="A34" s="30" t="s">
        <v>358</v>
      </c>
      <c r="B34" s="52"/>
    </row>
    <row r="35" spans="1:2" x14ac:dyDescent="0.2">
      <c r="A35" s="30"/>
      <c r="B35" s="52"/>
    </row>
    <row r="36" spans="1:2" ht="15" thickBot="1" x14ac:dyDescent="0.25">
      <c r="A36" s="32" t="s">
        <v>359</v>
      </c>
      <c r="B36" s="52"/>
    </row>
    <row r="37" spans="1:2" x14ac:dyDescent="0.2">
      <c r="A37" s="33" t="s">
        <v>333</v>
      </c>
      <c r="B37" s="52"/>
    </row>
  </sheetData>
  <mergeCells count="1">
    <mergeCell ref="B1:B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8EA9E-3C6F-468E-8E0D-41EE801C121B}">
  <dimension ref="A1:G1234"/>
  <sheetViews>
    <sheetView rightToLeft="1" tabSelected="1" topLeftCell="A199" workbookViewId="0">
      <selection activeCell="D216" sqref="D216"/>
    </sheetView>
  </sheetViews>
  <sheetFormatPr defaultRowHeight="14.25" x14ac:dyDescent="0.2"/>
  <cols>
    <col min="1" max="1" width="20.625" customWidth="1"/>
    <col min="2" max="2" width="16.125" customWidth="1"/>
    <col min="3" max="3" width="23.75" customWidth="1"/>
    <col min="4" max="4" width="14.25" customWidth="1"/>
    <col min="5" max="5" width="23.375" customWidth="1"/>
    <col min="6" max="6" width="30.625" customWidth="1"/>
  </cols>
  <sheetData>
    <row r="1" spans="1:7" ht="21" thickBot="1" x14ac:dyDescent="0.35">
      <c r="A1" s="50" t="s">
        <v>0</v>
      </c>
      <c r="B1" s="50"/>
      <c r="C1" s="50"/>
      <c r="D1" s="50"/>
      <c r="E1" s="50"/>
      <c r="F1" s="50"/>
      <c r="G1" s="51" t="s">
        <v>333</v>
      </c>
    </row>
    <row r="2" spans="1:7" x14ac:dyDescent="0.2">
      <c r="A2" s="1" t="s">
        <v>1</v>
      </c>
      <c r="B2" s="44" t="s">
        <v>2</v>
      </c>
      <c r="C2" s="45"/>
      <c r="D2" s="45"/>
      <c r="E2" s="45"/>
      <c r="F2" s="46"/>
      <c r="G2" s="51"/>
    </row>
    <row r="3" spans="1:7" ht="15" thickBot="1" x14ac:dyDescent="0.25">
      <c r="A3" s="2" t="s">
        <v>3</v>
      </c>
      <c r="B3" s="40" t="s">
        <v>4</v>
      </c>
      <c r="C3" s="41"/>
      <c r="D3" s="41"/>
      <c r="E3" s="41"/>
      <c r="F3" s="42"/>
      <c r="G3" s="51"/>
    </row>
    <row r="4" spans="1:7" ht="15" thickBot="1" x14ac:dyDescent="0.25">
      <c r="A4" s="19" t="s">
        <v>5</v>
      </c>
      <c r="B4" s="20" t="s">
        <v>6</v>
      </c>
      <c r="C4" s="21" t="s">
        <v>7</v>
      </c>
      <c r="D4" s="21" t="s">
        <v>8</v>
      </c>
      <c r="E4" s="22" t="s">
        <v>9</v>
      </c>
      <c r="F4" s="23" t="s">
        <v>10</v>
      </c>
      <c r="G4" s="51"/>
    </row>
    <row r="5" spans="1:7" ht="25.5" x14ac:dyDescent="0.2">
      <c r="A5" s="14" t="s">
        <v>11</v>
      </c>
      <c r="B5" s="3">
        <v>0.46007701537839824</v>
      </c>
      <c r="C5" s="4">
        <v>0.45</v>
      </c>
      <c r="D5" s="5" t="s">
        <v>12</v>
      </c>
      <c r="E5" s="6" t="s">
        <v>13</v>
      </c>
      <c r="F5" s="17" t="s">
        <v>14</v>
      </c>
      <c r="G5" s="51"/>
    </row>
    <row r="6" spans="1:7" x14ac:dyDescent="0.2">
      <c r="A6" s="15" t="s">
        <v>15</v>
      </c>
      <c r="B6" s="3">
        <v>0.18067041501630418</v>
      </c>
      <c r="C6" s="4">
        <v>0.17</v>
      </c>
      <c r="D6" s="7" t="s">
        <v>16</v>
      </c>
      <c r="E6" s="6" t="s">
        <v>17</v>
      </c>
      <c r="F6" s="17" t="s">
        <v>18</v>
      </c>
      <c r="G6" s="51"/>
    </row>
    <row r="7" spans="1:7" x14ac:dyDescent="0.2">
      <c r="A7" s="15" t="s">
        <v>19</v>
      </c>
      <c r="B7" s="3">
        <v>1.9430357727435957E-2</v>
      </c>
      <c r="C7" s="8">
        <v>0.03</v>
      </c>
      <c r="D7" s="7" t="s">
        <v>16</v>
      </c>
      <c r="E7" s="6" t="s">
        <v>20</v>
      </c>
      <c r="F7" s="17" t="s">
        <v>21</v>
      </c>
      <c r="G7" s="51"/>
    </row>
    <row r="8" spans="1:7" ht="38.25" x14ac:dyDescent="0.2">
      <c r="A8" s="15" t="s">
        <v>24</v>
      </c>
      <c r="B8" s="3">
        <v>0.18509821107165439</v>
      </c>
      <c r="C8" s="4">
        <v>0.2</v>
      </c>
      <c r="D8" s="7" t="s">
        <v>12</v>
      </c>
      <c r="E8" s="6" t="s">
        <v>25</v>
      </c>
      <c r="F8" s="17" t="s">
        <v>26</v>
      </c>
      <c r="G8" s="51"/>
    </row>
    <row r="9" spans="1:7" x14ac:dyDescent="0.2">
      <c r="A9" s="15" t="s">
        <v>27</v>
      </c>
      <c r="B9" s="3">
        <v>6.8970530431912522E-2</v>
      </c>
      <c r="C9" s="4">
        <v>7.0000000000000007E-2</v>
      </c>
      <c r="D9" s="7" t="s">
        <v>12</v>
      </c>
      <c r="E9" s="6" t="s">
        <v>28</v>
      </c>
      <c r="F9" s="17" t="s">
        <v>29</v>
      </c>
      <c r="G9" s="51"/>
    </row>
    <row r="10" spans="1:7" x14ac:dyDescent="0.2">
      <c r="A10" s="15" t="s">
        <v>30</v>
      </c>
      <c r="B10" s="3">
        <v>3.8430376916987925E-2</v>
      </c>
      <c r="C10" s="4">
        <v>0.04</v>
      </c>
      <c r="D10" s="7" t="s">
        <v>16</v>
      </c>
      <c r="E10" s="6" t="s">
        <v>31</v>
      </c>
      <c r="F10" s="17" t="s">
        <v>32</v>
      </c>
      <c r="G10" s="51"/>
    </row>
    <row r="11" spans="1:7" x14ac:dyDescent="0.2">
      <c r="A11" s="15" t="s">
        <v>33</v>
      </c>
      <c r="B11" s="3">
        <v>3.8625249719985662E-2</v>
      </c>
      <c r="C11" s="4">
        <v>0.04</v>
      </c>
      <c r="D11" s="7" t="s">
        <v>16</v>
      </c>
      <c r="E11" s="6" t="s">
        <v>31</v>
      </c>
      <c r="F11" s="17" t="s">
        <v>34</v>
      </c>
      <c r="G11" s="51"/>
    </row>
    <row r="12" spans="1:7" x14ac:dyDescent="0.2">
      <c r="A12" s="15" t="s">
        <v>35</v>
      </c>
      <c r="B12" s="3">
        <v>3.5168070269174026E-2</v>
      </c>
      <c r="C12" s="4">
        <v>0.04</v>
      </c>
      <c r="D12" s="7" t="s">
        <v>16</v>
      </c>
      <c r="E12" s="6" t="s">
        <v>31</v>
      </c>
      <c r="F12" s="17" t="s">
        <v>36</v>
      </c>
      <c r="G12" s="51"/>
    </row>
    <row r="13" spans="1:7" x14ac:dyDescent="0.2">
      <c r="A13" s="15" t="s">
        <v>37</v>
      </c>
      <c r="B13" s="3">
        <v>3.4880432184026762E-2</v>
      </c>
      <c r="C13" s="4">
        <v>0.04</v>
      </c>
      <c r="D13" s="7" t="s">
        <v>16</v>
      </c>
      <c r="E13" s="6" t="s">
        <v>31</v>
      </c>
      <c r="F13" s="17" t="s">
        <v>38</v>
      </c>
      <c r="G13" s="51"/>
    </row>
    <row r="14" spans="1:7" x14ac:dyDescent="0.2">
      <c r="A14" s="15" t="s">
        <v>39</v>
      </c>
      <c r="B14" s="3">
        <v>1.7720544484574349E-3</v>
      </c>
      <c r="C14" s="4">
        <v>0</v>
      </c>
      <c r="D14" s="7" t="s">
        <v>16</v>
      </c>
      <c r="E14" s="6" t="s">
        <v>23</v>
      </c>
      <c r="F14" s="17">
        <v>0</v>
      </c>
      <c r="G14" s="51"/>
    </row>
    <row r="15" spans="1:7" x14ac:dyDescent="0.2">
      <c r="A15" s="15" t="s">
        <v>42</v>
      </c>
      <c r="B15" s="9">
        <f>SUBTOTAL(109,B5:B14)</f>
        <v>1.063122713164337</v>
      </c>
      <c r="C15" s="9">
        <f>SUBTOTAL(109,C5:C14)</f>
        <v>1.0800000000000003</v>
      </c>
      <c r="D15" s="7"/>
      <c r="E15" s="11"/>
      <c r="F15" s="18"/>
      <c r="G15" s="51"/>
    </row>
    <row r="16" spans="1:7" ht="15" thickBot="1" x14ac:dyDescent="0.25">
      <c r="A16" s="16" t="s">
        <v>43</v>
      </c>
      <c r="B16" s="12">
        <v>0.1785167760488279</v>
      </c>
      <c r="C16" s="4">
        <v>0.19</v>
      </c>
      <c r="D16" s="13" t="s">
        <v>12</v>
      </c>
      <c r="E16" s="6" t="s">
        <v>44</v>
      </c>
      <c r="F16" s="17" t="s">
        <v>45</v>
      </c>
      <c r="G16" s="51"/>
    </row>
    <row r="17" spans="1:7" ht="26.25" thickBot="1" x14ac:dyDescent="0.25">
      <c r="A17" s="24" t="s">
        <v>46</v>
      </c>
      <c r="B17" s="25"/>
      <c r="C17" s="26">
        <v>2.3999999999999998E-3</v>
      </c>
      <c r="D17" s="25"/>
      <c r="E17" s="25"/>
      <c r="F17" s="27"/>
      <c r="G17" s="51"/>
    </row>
    <row r="18" spans="1:7" ht="15" thickBot="1" x14ac:dyDescent="0.25">
      <c r="A18" s="43" t="s">
        <v>332</v>
      </c>
      <c r="B18" s="43"/>
      <c r="C18" s="43"/>
      <c r="D18" s="43"/>
      <c r="E18" s="43"/>
      <c r="F18" s="43"/>
      <c r="G18" s="51"/>
    </row>
    <row r="19" spans="1:7" x14ac:dyDescent="0.2">
      <c r="A19" s="1" t="s">
        <v>1</v>
      </c>
      <c r="B19" s="44" t="s">
        <v>47</v>
      </c>
      <c r="C19" s="45"/>
      <c r="D19" s="45"/>
      <c r="E19" s="45"/>
      <c r="F19" s="46"/>
      <c r="G19" s="51"/>
    </row>
    <row r="20" spans="1:7" ht="15" thickBot="1" x14ac:dyDescent="0.25">
      <c r="A20" s="2" t="s">
        <v>3</v>
      </c>
      <c r="B20" s="40" t="s">
        <v>48</v>
      </c>
      <c r="C20" s="41"/>
      <c r="D20" s="41"/>
      <c r="E20" s="41"/>
      <c r="F20" s="42"/>
      <c r="G20" s="51"/>
    </row>
    <row r="21" spans="1:7" ht="15" thickBot="1" x14ac:dyDescent="0.25">
      <c r="A21" s="19" t="s">
        <v>5</v>
      </c>
      <c r="B21" s="20" t="s">
        <v>6</v>
      </c>
      <c r="C21" s="21" t="s">
        <v>7</v>
      </c>
      <c r="D21" s="21" t="s">
        <v>8</v>
      </c>
      <c r="E21" s="22" t="s">
        <v>9</v>
      </c>
      <c r="F21" s="23" t="s">
        <v>10</v>
      </c>
      <c r="G21" s="51"/>
    </row>
    <row r="22" spans="1:7" ht="25.5" x14ac:dyDescent="0.2">
      <c r="A22" s="14" t="s">
        <v>11</v>
      </c>
      <c r="B22" s="3">
        <v>0.46136894244389354</v>
      </c>
      <c r="C22" s="4">
        <v>0.45</v>
      </c>
      <c r="D22" s="5" t="s">
        <v>12</v>
      </c>
      <c r="E22" s="6" t="s">
        <v>13</v>
      </c>
      <c r="F22" s="17" t="s">
        <v>14</v>
      </c>
      <c r="G22" s="51"/>
    </row>
    <row r="23" spans="1:7" x14ac:dyDescent="0.2">
      <c r="A23" s="15" t="s">
        <v>15</v>
      </c>
      <c r="B23" s="3">
        <v>0.19574727774761841</v>
      </c>
      <c r="C23" s="4">
        <v>0.18</v>
      </c>
      <c r="D23" s="7" t="s">
        <v>16</v>
      </c>
      <c r="E23" s="6" t="s">
        <v>49</v>
      </c>
      <c r="F23" s="17" t="s">
        <v>18</v>
      </c>
      <c r="G23" s="51"/>
    </row>
    <row r="24" spans="1:7" x14ac:dyDescent="0.2">
      <c r="A24" s="15" t="s">
        <v>19</v>
      </c>
      <c r="B24" s="3">
        <v>1.8516289701115598E-2</v>
      </c>
      <c r="C24" s="4">
        <v>0.03</v>
      </c>
      <c r="D24" s="7" t="s">
        <v>16</v>
      </c>
      <c r="E24" s="6" t="s">
        <v>20</v>
      </c>
      <c r="F24" s="17" t="s">
        <v>21</v>
      </c>
      <c r="G24" s="51"/>
    </row>
    <row r="25" spans="1:7" ht="38.25" x14ac:dyDescent="0.2">
      <c r="A25" s="15" t="s">
        <v>24</v>
      </c>
      <c r="B25" s="3">
        <v>0.19555835795118853</v>
      </c>
      <c r="C25" s="4">
        <v>0.2</v>
      </c>
      <c r="D25" s="7" t="s">
        <v>12</v>
      </c>
      <c r="E25" s="6" t="s">
        <v>25</v>
      </c>
      <c r="F25" s="17" t="s">
        <v>26</v>
      </c>
      <c r="G25" s="51"/>
    </row>
    <row r="26" spans="1:7" x14ac:dyDescent="0.2">
      <c r="A26" s="15" t="s">
        <v>27</v>
      </c>
      <c r="B26" s="3">
        <v>5.7865491131888047E-2</v>
      </c>
      <c r="C26" s="4">
        <v>7.0000000000000007E-2</v>
      </c>
      <c r="D26" s="7" t="s">
        <v>12</v>
      </c>
      <c r="E26" s="6" t="s">
        <v>28</v>
      </c>
      <c r="F26" s="17" t="s">
        <v>29</v>
      </c>
      <c r="G26" s="51"/>
    </row>
    <row r="27" spans="1:7" x14ac:dyDescent="0.2">
      <c r="A27" s="15" t="s">
        <v>30</v>
      </c>
      <c r="B27" s="3">
        <v>3.129279459039333E-2</v>
      </c>
      <c r="C27" s="4">
        <v>0.04</v>
      </c>
      <c r="D27" s="7" t="s">
        <v>16</v>
      </c>
      <c r="E27" s="6" t="s">
        <v>31</v>
      </c>
      <c r="F27" s="17" t="s">
        <v>32</v>
      </c>
      <c r="G27" s="51"/>
    </row>
    <row r="28" spans="1:7" x14ac:dyDescent="0.2">
      <c r="A28" s="15" t="s">
        <v>33</v>
      </c>
      <c r="B28" s="3">
        <v>3.2000525372819319E-2</v>
      </c>
      <c r="C28" s="4">
        <v>0.04</v>
      </c>
      <c r="D28" s="7" t="s">
        <v>16</v>
      </c>
      <c r="E28" s="6" t="s">
        <v>31</v>
      </c>
      <c r="F28" s="17" t="s">
        <v>34</v>
      </c>
      <c r="G28" s="51"/>
    </row>
    <row r="29" spans="1:7" x14ac:dyDescent="0.2">
      <c r="A29" s="15" t="s">
        <v>35</v>
      </c>
      <c r="B29" s="3">
        <v>3.0532119418209724E-2</v>
      </c>
      <c r="C29" s="4">
        <v>0.04</v>
      </c>
      <c r="D29" s="7" t="s">
        <v>16</v>
      </c>
      <c r="E29" s="6" t="s">
        <v>31</v>
      </c>
      <c r="F29" s="17" t="s">
        <v>36</v>
      </c>
      <c r="G29" s="51"/>
    </row>
    <row r="30" spans="1:7" x14ac:dyDescent="0.2">
      <c r="A30" s="15" t="s">
        <v>37</v>
      </c>
      <c r="B30" s="3">
        <v>2.2771491315057443E-2</v>
      </c>
      <c r="C30" s="4">
        <v>0.03</v>
      </c>
      <c r="D30" s="7" t="s">
        <v>16</v>
      </c>
      <c r="E30" s="6" t="s">
        <v>50</v>
      </c>
      <c r="F30" s="17" t="s">
        <v>38</v>
      </c>
      <c r="G30" s="51"/>
    </row>
    <row r="31" spans="1:7" x14ac:dyDescent="0.2">
      <c r="A31" s="15" t="s">
        <v>39</v>
      </c>
      <c r="B31" s="3">
        <v>1.7774667608673998E-3</v>
      </c>
      <c r="C31" s="4">
        <v>0</v>
      </c>
      <c r="D31" s="7" t="s">
        <v>16</v>
      </c>
      <c r="E31" s="6" t="s">
        <v>23</v>
      </c>
      <c r="F31" s="17">
        <v>0</v>
      </c>
      <c r="G31" s="51"/>
    </row>
    <row r="32" spans="1:7" x14ac:dyDescent="0.2">
      <c r="A32" s="15" t="s">
        <v>42</v>
      </c>
      <c r="B32" s="9">
        <f>SUBTOTAL(109,B22:B31)</f>
        <v>1.0474307564330514</v>
      </c>
      <c r="C32" s="9">
        <f>SUBTOTAL(109,C22:C31)</f>
        <v>1.0800000000000003</v>
      </c>
      <c r="D32" s="7"/>
      <c r="E32" s="11"/>
      <c r="F32" s="18"/>
      <c r="G32" s="51"/>
    </row>
    <row r="33" spans="1:7" ht="15" thickBot="1" x14ac:dyDescent="0.25">
      <c r="A33" s="16" t="s">
        <v>43</v>
      </c>
      <c r="B33" s="12">
        <v>0.179223705536248</v>
      </c>
      <c r="C33" s="4">
        <v>0.19</v>
      </c>
      <c r="D33" s="13" t="s">
        <v>12</v>
      </c>
      <c r="E33" s="6" t="s">
        <v>44</v>
      </c>
      <c r="F33" s="17" t="s">
        <v>45</v>
      </c>
      <c r="G33" s="51"/>
    </row>
    <row r="34" spans="1:7" ht="26.25" thickBot="1" x14ac:dyDescent="0.25">
      <c r="A34" s="24" t="s">
        <v>46</v>
      </c>
      <c r="B34" s="25"/>
      <c r="C34" s="26">
        <v>2.3999999999999998E-3</v>
      </c>
      <c r="D34" s="25"/>
      <c r="E34" s="25"/>
      <c r="F34" s="27"/>
      <c r="G34" s="51"/>
    </row>
    <row r="35" spans="1:7" ht="15" thickBot="1" x14ac:dyDescent="0.25">
      <c r="A35" s="43" t="s">
        <v>332</v>
      </c>
      <c r="B35" s="43"/>
      <c r="C35" s="43"/>
      <c r="D35" s="43"/>
      <c r="E35" s="43"/>
      <c r="F35" s="43"/>
      <c r="G35" s="51"/>
    </row>
    <row r="36" spans="1:7" x14ac:dyDescent="0.2">
      <c r="A36" s="1" t="s">
        <v>1</v>
      </c>
      <c r="B36" s="44" t="s">
        <v>51</v>
      </c>
      <c r="C36" s="45"/>
      <c r="D36" s="45"/>
      <c r="E36" s="45"/>
      <c r="F36" s="46"/>
      <c r="G36" s="51"/>
    </row>
    <row r="37" spans="1:7" ht="15" thickBot="1" x14ac:dyDescent="0.25">
      <c r="A37" s="2" t="s">
        <v>3</v>
      </c>
      <c r="B37" s="40" t="s">
        <v>52</v>
      </c>
      <c r="C37" s="41"/>
      <c r="D37" s="41"/>
      <c r="E37" s="41"/>
      <c r="F37" s="42"/>
      <c r="G37" s="51"/>
    </row>
    <row r="38" spans="1:7" ht="15" thickBot="1" x14ac:dyDescent="0.25">
      <c r="A38" s="19" t="s">
        <v>5</v>
      </c>
      <c r="B38" s="20" t="s">
        <v>6</v>
      </c>
      <c r="C38" s="21" t="s">
        <v>7</v>
      </c>
      <c r="D38" s="21" t="s">
        <v>8</v>
      </c>
      <c r="E38" s="22" t="s">
        <v>9</v>
      </c>
      <c r="F38" s="23" t="s">
        <v>10</v>
      </c>
      <c r="G38" s="51"/>
    </row>
    <row r="39" spans="1:7" ht="25.5" x14ac:dyDescent="0.2">
      <c r="A39" s="14" t="s">
        <v>11</v>
      </c>
      <c r="B39" s="3">
        <v>0.46132249436413414</v>
      </c>
      <c r="C39" s="4">
        <v>0.45</v>
      </c>
      <c r="D39" s="5" t="s">
        <v>12</v>
      </c>
      <c r="E39" s="6" t="s">
        <v>13</v>
      </c>
      <c r="F39" s="17" t="s">
        <v>14</v>
      </c>
      <c r="G39" s="51"/>
    </row>
    <row r="40" spans="1:7" x14ac:dyDescent="0.2">
      <c r="A40" s="15" t="s">
        <v>15</v>
      </c>
      <c r="B40" s="3">
        <v>0.22125378984875749</v>
      </c>
      <c r="C40" s="4">
        <v>0.2</v>
      </c>
      <c r="D40" s="7" t="s">
        <v>16</v>
      </c>
      <c r="E40" s="6" t="s">
        <v>53</v>
      </c>
      <c r="F40" s="17" t="s">
        <v>18</v>
      </c>
      <c r="G40" s="51"/>
    </row>
    <row r="41" spans="1:7" x14ac:dyDescent="0.2">
      <c r="A41" s="15" t="s">
        <v>19</v>
      </c>
      <c r="B41" s="3">
        <v>2.1443594857324687E-2</v>
      </c>
      <c r="C41" s="4">
        <v>0.03</v>
      </c>
      <c r="D41" s="7" t="s">
        <v>16</v>
      </c>
      <c r="E41" s="6" t="s">
        <v>20</v>
      </c>
      <c r="F41" s="17" t="s">
        <v>21</v>
      </c>
      <c r="G41" s="51"/>
    </row>
    <row r="42" spans="1:7" ht="38.25" x14ac:dyDescent="0.2">
      <c r="A42" s="15" t="s">
        <v>24</v>
      </c>
      <c r="B42" s="3">
        <v>0.25787636110716949</v>
      </c>
      <c r="C42" s="4">
        <v>0.27</v>
      </c>
      <c r="D42" s="7" t="s">
        <v>12</v>
      </c>
      <c r="E42" s="6" t="s">
        <v>54</v>
      </c>
      <c r="F42" s="17" t="s">
        <v>26</v>
      </c>
      <c r="G42" s="51"/>
    </row>
    <row r="43" spans="1:7" x14ac:dyDescent="0.2">
      <c r="A43" s="15" t="s">
        <v>27</v>
      </c>
      <c r="B43" s="3">
        <v>6.9678365983041488E-2</v>
      </c>
      <c r="C43" s="4">
        <v>0.09</v>
      </c>
      <c r="D43" s="7" t="s">
        <v>12</v>
      </c>
      <c r="E43" s="6" t="s">
        <v>55</v>
      </c>
      <c r="F43" s="17" t="s">
        <v>29</v>
      </c>
      <c r="G43" s="51"/>
    </row>
    <row r="44" spans="1:7" x14ac:dyDescent="0.2">
      <c r="A44" s="15" t="s">
        <v>33</v>
      </c>
      <c r="B44" s="3">
        <v>1.777182819202806E-2</v>
      </c>
      <c r="C44" s="4">
        <v>0.03</v>
      </c>
      <c r="D44" s="7" t="s">
        <v>16</v>
      </c>
      <c r="E44" s="6" t="s">
        <v>50</v>
      </c>
      <c r="F44" s="17" t="s">
        <v>34</v>
      </c>
      <c r="G44" s="51"/>
    </row>
    <row r="45" spans="1:7" x14ac:dyDescent="0.2">
      <c r="A45" s="15" t="s">
        <v>35</v>
      </c>
      <c r="B45" s="3">
        <v>8.3812537220961814E-3</v>
      </c>
      <c r="C45" s="4">
        <v>0.01</v>
      </c>
      <c r="D45" s="7" t="s">
        <v>16</v>
      </c>
      <c r="E45" s="6" t="s">
        <v>56</v>
      </c>
      <c r="F45" s="17" t="s">
        <v>36</v>
      </c>
      <c r="G45" s="51"/>
    </row>
    <row r="46" spans="1:7" x14ac:dyDescent="0.2">
      <c r="A46" s="15" t="s">
        <v>37</v>
      </c>
      <c r="B46" s="3">
        <v>4.3718302054417887E-3</v>
      </c>
      <c r="C46" s="4">
        <v>0.01</v>
      </c>
      <c r="D46" s="7" t="s">
        <v>16</v>
      </c>
      <c r="E46" s="6" t="s">
        <v>56</v>
      </c>
      <c r="F46" s="17" t="s">
        <v>38</v>
      </c>
      <c r="G46" s="51"/>
    </row>
    <row r="47" spans="1:7" x14ac:dyDescent="0.2">
      <c r="A47" s="15" t="s">
        <v>39</v>
      </c>
      <c r="B47" s="3">
        <v>1.7667484746851818E-3</v>
      </c>
      <c r="C47" s="4">
        <v>0</v>
      </c>
      <c r="D47" s="7" t="s">
        <v>16</v>
      </c>
      <c r="E47" s="6" t="s">
        <v>23</v>
      </c>
      <c r="F47" s="17">
        <v>0</v>
      </c>
      <c r="G47" s="51"/>
    </row>
    <row r="48" spans="1:7" x14ac:dyDescent="0.2">
      <c r="A48" s="15" t="s">
        <v>42</v>
      </c>
      <c r="B48" s="9">
        <f>SUBTOTAL(109,B39:B47)</f>
        <v>1.0638662667546788</v>
      </c>
      <c r="C48" s="10">
        <f>SUBTOTAL(109,C39:C47)</f>
        <v>1.0900000000000001</v>
      </c>
      <c r="D48" s="7"/>
      <c r="E48" s="11"/>
      <c r="F48" s="18"/>
      <c r="G48" s="51"/>
    </row>
    <row r="49" spans="1:7" ht="15" thickBot="1" x14ac:dyDescent="0.25">
      <c r="A49" s="16" t="s">
        <v>43</v>
      </c>
      <c r="B49" s="12">
        <v>0.17359909268588855</v>
      </c>
      <c r="C49" s="4">
        <v>0.19</v>
      </c>
      <c r="D49" s="13" t="s">
        <v>12</v>
      </c>
      <c r="E49" s="6" t="s">
        <v>44</v>
      </c>
      <c r="F49" s="17" t="s">
        <v>45</v>
      </c>
      <c r="G49" s="51"/>
    </row>
    <row r="50" spans="1:7" ht="26.25" thickBot="1" x14ac:dyDescent="0.25">
      <c r="A50" s="24" t="s">
        <v>46</v>
      </c>
      <c r="B50" s="25"/>
      <c r="C50" s="26">
        <v>1.5E-3</v>
      </c>
      <c r="D50" s="25"/>
      <c r="E50" s="25"/>
      <c r="F50" s="27"/>
      <c r="G50" s="51"/>
    </row>
    <row r="51" spans="1:7" ht="15" thickBot="1" x14ac:dyDescent="0.25">
      <c r="A51" s="43" t="s">
        <v>332</v>
      </c>
      <c r="B51" s="43"/>
      <c r="C51" s="43"/>
      <c r="D51" s="43"/>
      <c r="E51" s="43"/>
      <c r="F51" s="43"/>
      <c r="G51" s="51"/>
    </row>
    <row r="52" spans="1:7" x14ac:dyDescent="0.2">
      <c r="A52" s="1" t="s">
        <v>1</v>
      </c>
      <c r="B52" s="44" t="s">
        <v>57</v>
      </c>
      <c r="C52" s="45"/>
      <c r="D52" s="45"/>
      <c r="E52" s="45"/>
      <c r="F52" s="46"/>
      <c r="G52" s="51"/>
    </row>
    <row r="53" spans="1:7" ht="15" thickBot="1" x14ac:dyDescent="0.25">
      <c r="A53" s="2" t="s">
        <v>3</v>
      </c>
      <c r="B53" s="40" t="s">
        <v>58</v>
      </c>
      <c r="C53" s="41"/>
      <c r="D53" s="41"/>
      <c r="E53" s="41"/>
      <c r="F53" s="42"/>
      <c r="G53" s="51"/>
    </row>
    <row r="54" spans="1:7" ht="15" thickBot="1" x14ac:dyDescent="0.25">
      <c r="A54" s="19" t="s">
        <v>5</v>
      </c>
      <c r="B54" s="20" t="s">
        <v>6</v>
      </c>
      <c r="C54" s="21" t="s">
        <v>7</v>
      </c>
      <c r="D54" s="21" t="s">
        <v>8</v>
      </c>
      <c r="E54" s="22" t="s">
        <v>9</v>
      </c>
      <c r="F54" s="23" t="s">
        <v>10</v>
      </c>
      <c r="G54" s="51"/>
    </row>
    <row r="55" spans="1:7" ht="25.5" x14ac:dyDescent="0.2">
      <c r="A55" s="14" t="s">
        <v>11</v>
      </c>
      <c r="B55" s="3">
        <v>0.46603878011203531</v>
      </c>
      <c r="C55" s="4">
        <v>0.45</v>
      </c>
      <c r="D55" s="5" t="s">
        <v>12</v>
      </c>
      <c r="E55" s="6" t="s">
        <v>13</v>
      </c>
      <c r="F55" s="17" t="s">
        <v>14</v>
      </c>
      <c r="G55" s="51"/>
    </row>
    <row r="56" spans="1:7" x14ac:dyDescent="0.2">
      <c r="A56" s="15" t="s">
        <v>15</v>
      </c>
      <c r="B56" s="3">
        <v>0.22384265929529656</v>
      </c>
      <c r="C56" s="4">
        <v>0.22</v>
      </c>
      <c r="D56" s="7" t="s">
        <v>16</v>
      </c>
      <c r="E56" s="6" t="s">
        <v>59</v>
      </c>
      <c r="F56" s="17" t="s">
        <v>18</v>
      </c>
      <c r="G56" s="51"/>
    </row>
    <row r="57" spans="1:7" x14ac:dyDescent="0.2">
      <c r="A57" s="15" t="s">
        <v>19</v>
      </c>
      <c r="B57" s="3">
        <v>2.08465621055711E-2</v>
      </c>
      <c r="C57" s="4">
        <v>0.03</v>
      </c>
      <c r="D57" s="7" t="s">
        <v>16</v>
      </c>
      <c r="E57" s="6" t="s">
        <v>20</v>
      </c>
      <c r="F57" s="17" t="s">
        <v>21</v>
      </c>
      <c r="G57" s="51"/>
    </row>
    <row r="58" spans="1:7" ht="38.25" x14ac:dyDescent="0.2">
      <c r="A58" s="15" t="s">
        <v>24</v>
      </c>
      <c r="B58" s="3">
        <v>0.19749372264374443</v>
      </c>
      <c r="C58" s="4">
        <v>0.21</v>
      </c>
      <c r="D58" s="7" t="s">
        <v>12</v>
      </c>
      <c r="E58" s="6" t="s">
        <v>60</v>
      </c>
      <c r="F58" s="17" t="s">
        <v>26</v>
      </c>
      <c r="G58" s="51"/>
    </row>
    <row r="59" spans="1:7" x14ac:dyDescent="0.2">
      <c r="A59" s="15" t="s">
        <v>27</v>
      </c>
      <c r="B59" s="3">
        <v>8.0718308985537904E-2</v>
      </c>
      <c r="C59" s="4">
        <v>0.08</v>
      </c>
      <c r="D59" s="7" t="s">
        <v>12</v>
      </c>
      <c r="E59" s="6" t="s">
        <v>61</v>
      </c>
      <c r="F59" s="17" t="s">
        <v>29</v>
      </c>
      <c r="G59" s="51"/>
    </row>
    <row r="60" spans="1:7" x14ac:dyDescent="0.2">
      <c r="A60" s="15" t="s">
        <v>33</v>
      </c>
      <c r="B60" s="3">
        <v>3.8675303083743617E-2</v>
      </c>
      <c r="C60" s="4">
        <v>0.04</v>
      </c>
      <c r="D60" s="7" t="s">
        <v>16</v>
      </c>
      <c r="E60" s="6" t="s">
        <v>31</v>
      </c>
      <c r="F60" s="17" t="s">
        <v>34</v>
      </c>
      <c r="G60" s="51"/>
    </row>
    <row r="61" spans="1:7" x14ac:dyDescent="0.2">
      <c r="A61" s="15" t="s">
        <v>35</v>
      </c>
      <c r="B61" s="3">
        <v>3.5329923127255691E-2</v>
      </c>
      <c r="C61" s="4">
        <v>0.04</v>
      </c>
      <c r="D61" s="7" t="s">
        <v>16</v>
      </c>
      <c r="E61" s="6" t="s">
        <v>31</v>
      </c>
      <c r="F61" s="17" t="s">
        <v>36</v>
      </c>
      <c r="G61" s="51"/>
    </row>
    <row r="62" spans="1:7" x14ac:dyDescent="0.2">
      <c r="A62" s="15" t="s">
        <v>39</v>
      </c>
      <c r="B62" s="3">
        <v>1.7966472370566436E-3</v>
      </c>
      <c r="C62" s="4">
        <v>0</v>
      </c>
      <c r="D62" s="7" t="s">
        <v>16</v>
      </c>
      <c r="E62" s="6" t="s">
        <v>23</v>
      </c>
      <c r="F62" s="17">
        <v>0</v>
      </c>
      <c r="G62" s="51"/>
    </row>
    <row r="63" spans="1:7" x14ac:dyDescent="0.2">
      <c r="A63" s="15" t="s">
        <v>42</v>
      </c>
      <c r="B63" s="9">
        <f>SUBTOTAL(109,B55:B62)</f>
        <v>1.0647419065902413</v>
      </c>
      <c r="C63" s="10">
        <f>SUBTOTAL(109,C55:C62)</f>
        <v>1.07</v>
      </c>
      <c r="D63" s="7"/>
      <c r="E63" s="11"/>
      <c r="F63" s="18"/>
      <c r="G63" s="51"/>
    </row>
    <row r="64" spans="1:7" ht="15" thickBot="1" x14ac:dyDescent="0.25">
      <c r="A64" s="16" t="s">
        <v>43</v>
      </c>
      <c r="B64" s="12">
        <v>0.17848332357742547</v>
      </c>
      <c r="C64" s="4">
        <v>0.19</v>
      </c>
      <c r="D64" s="13" t="s">
        <v>12</v>
      </c>
      <c r="E64" s="6" t="s">
        <v>44</v>
      </c>
      <c r="F64" s="17" t="s">
        <v>45</v>
      </c>
      <c r="G64" s="51"/>
    </row>
    <row r="65" spans="1:7" ht="26.25" thickBot="1" x14ac:dyDescent="0.25">
      <c r="A65" s="24" t="s">
        <v>46</v>
      </c>
      <c r="B65" s="25"/>
      <c r="C65" s="26">
        <v>2.3999999999999998E-3</v>
      </c>
      <c r="D65" s="25"/>
      <c r="E65" s="25"/>
      <c r="F65" s="27"/>
      <c r="G65" s="51"/>
    </row>
    <row r="66" spans="1:7" ht="15" thickBot="1" x14ac:dyDescent="0.25">
      <c r="A66" s="43" t="s">
        <v>332</v>
      </c>
      <c r="B66" s="43"/>
      <c r="C66" s="43"/>
      <c r="D66" s="43"/>
      <c r="E66" s="43"/>
      <c r="F66" s="43"/>
      <c r="G66" s="51"/>
    </row>
    <row r="67" spans="1:7" x14ac:dyDescent="0.2">
      <c r="A67" s="1" t="s">
        <v>1</v>
      </c>
      <c r="B67" s="44" t="s">
        <v>62</v>
      </c>
      <c r="C67" s="45"/>
      <c r="D67" s="45"/>
      <c r="E67" s="45"/>
      <c r="F67" s="46"/>
      <c r="G67" s="51"/>
    </row>
    <row r="68" spans="1:7" ht="15" thickBot="1" x14ac:dyDescent="0.25">
      <c r="A68" s="2" t="s">
        <v>3</v>
      </c>
      <c r="B68" s="40" t="s">
        <v>63</v>
      </c>
      <c r="C68" s="41"/>
      <c r="D68" s="41"/>
      <c r="E68" s="41"/>
      <c r="F68" s="42"/>
      <c r="G68" s="51"/>
    </row>
    <row r="69" spans="1:7" ht="15" thickBot="1" x14ac:dyDescent="0.25">
      <c r="A69" s="19" t="s">
        <v>5</v>
      </c>
      <c r="B69" s="20" t="s">
        <v>6</v>
      </c>
      <c r="C69" s="21" t="s">
        <v>7</v>
      </c>
      <c r="D69" s="21" t="s">
        <v>8</v>
      </c>
      <c r="E69" s="22" t="s">
        <v>9</v>
      </c>
      <c r="F69" s="23" t="s">
        <v>10</v>
      </c>
      <c r="G69" s="51"/>
    </row>
    <row r="70" spans="1:7" ht="25.5" x14ac:dyDescent="0.2">
      <c r="A70" s="14" t="s">
        <v>11</v>
      </c>
      <c r="B70" s="3">
        <v>0.46139326297667876</v>
      </c>
      <c r="C70" s="4">
        <v>0.45</v>
      </c>
      <c r="D70" s="5" t="s">
        <v>12</v>
      </c>
      <c r="E70" s="6" t="s">
        <v>13</v>
      </c>
      <c r="F70" s="17" t="s">
        <v>14</v>
      </c>
      <c r="G70" s="51"/>
    </row>
    <row r="71" spans="1:7" x14ac:dyDescent="0.2">
      <c r="A71" s="15" t="s">
        <v>15</v>
      </c>
      <c r="B71" s="3">
        <v>0.23100991638016374</v>
      </c>
      <c r="C71" s="4">
        <v>0.2</v>
      </c>
      <c r="D71" s="7" t="s">
        <v>16</v>
      </c>
      <c r="E71" s="6" t="s">
        <v>53</v>
      </c>
      <c r="F71" s="17" t="s">
        <v>18</v>
      </c>
      <c r="G71" s="51"/>
    </row>
    <row r="72" spans="1:7" x14ac:dyDescent="0.2">
      <c r="A72" s="15" t="s">
        <v>19</v>
      </c>
      <c r="B72" s="3">
        <v>2.0694268591620442E-2</v>
      </c>
      <c r="C72" s="4">
        <v>0.03</v>
      </c>
      <c r="D72" s="7" t="s">
        <v>16</v>
      </c>
      <c r="E72" s="6" t="s">
        <v>20</v>
      </c>
      <c r="F72" s="17" t="s">
        <v>21</v>
      </c>
      <c r="G72" s="51"/>
    </row>
    <row r="73" spans="1:7" ht="38.25" x14ac:dyDescent="0.2">
      <c r="A73" s="15" t="s">
        <v>24</v>
      </c>
      <c r="B73" s="3">
        <v>0.2625877948477407</v>
      </c>
      <c r="C73" s="4">
        <v>0.27</v>
      </c>
      <c r="D73" s="7" t="s">
        <v>12</v>
      </c>
      <c r="E73" s="6" t="s">
        <v>54</v>
      </c>
      <c r="F73" s="17" t="s">
        <v>26</v>
      </c>
      <c r="G73" s="51"/>
    </row>
    <row r="74" spans="1:7" x14ac:dyDescent="0.2">
      <c r="A74" s="15" t="s">
        <v>27</v>
      </c>
      <c r="B74" s="3">
        <v>5.2673892694745358E-2</v>
      </c>
      <c r="C74" s="4">
        <v>0.06</v>
      </c>
      <c r="D74" s="7" t="s">
        <v>12</v>
      </c>
      <c r="E74" s="6" t="s">
        <v>64</v>
      </c>
      <c r="F74" s="17" t="s">
        <v>29</v>
      </c>
      <c r="G74" s="51"/>
    </row>
    <row r="75" spans="1:7" x14ac:dyDescent="0.2">
      <c r="A75" s="15" t="s">
        <v>30</v>
      </c>
      <c r="B75" s="3">
        <v>2.4959940546847088E-2</v>
      </c>
      <c r="C75" s="4">
        <v>0.04</v>
      </c>
      <c r="D75" s="7" t="s">
        <v>16</v>
      </c>
      <c r="E75" s="6" t="s">
        <v>31</v>
      </c>
      <c r="F75" s="17">
        <v>0</v>
      </c>
      <c r="G75" s="51"/>
    </row>
    <row r="76" spans="1:7" x14ac:dyDescent="0.2">
      <c r="A76" s="15" t="s">
        <v>35</v>
      </c>
      <c r="B76" s="3">
        <v>8.8776188175407229E-3</v>
      </c>
      <c r="C76" s="4">
        <v>0</v>
      </c>
      <c r="D76" s="7" t="s">
        <v>16</v>
      </c>
      <c r="E76" s="6" t="s">
        <v>23</v>
      </c>
      <c r="F76" s="17" t="s">
        <v>36</v>
      </c>
      <c r="G76" s="51"/>
    </row>
    <row r="77" spans="1:7" x14ac:dyDescent="0.2">
      <c r="A77" s="15" t="s">
        <v>37</v>
      </c>
      <c r="B77" s="3">
        <v>3.9868000461519273E-3</v>
      </c>
      <c r="C77" s="4">
        <v>0</v>
      </c>
      <c r="D77" s="7" t="s">
        <v>16</v>
      </c>
      <c r="E77" s="6" t="s">
        <v>23</v>
      </c>
      <c r="F77" s="17" t="s">
        <v>38</v>
      </c>
      <c r="G77" s="51"/>
    </row>
    <row r="78" spans="1:7" x14ac:dyDescent="0.2">
      <c r="A78" s="15" t="s">
        <v>39</v>
      </c>
      <c r="B78" s="3">
        <v>1.7666666829279463E-3</v>
      </c>
      <c r="C78" s="4">
        <v>0</v>
      </c>
      <c r="D78" s="7" t="s">
        <v>16</v>
      </c>
      <c r="E78" s="6" t="s">
        <v>23</v>
      </c>
      <c r="F78" s="17">
        <v>0</v>
      </c>
      <c r="G78" s="51"/>
    </row>
    <row r="79" spans="1:7" x14ac:dyDescent="0.2">
      <c r="A79" s="15" t="s">
        <v>42</v>
      </c>
      <c r="B79" s="9">
        <f>SUBTOTAL(109,B70:B78)</f>
        <v>1.0679501615844167</v>
      </c>
      <c r="C79" s="10">
        <f>SUBTOTAL(109,C70:C78)</f>
        <v>1.05</v>
      </c>
      <c r="D79" s="7"/>
      <c r="E79" s="11"/>
      <c r="F79" s="18"/>
      <c r="G79" s="51"/>
    </row>
    <row r="80" spans="1:7" ht="15" thickBot="1" x14ac:dyDescent="0.25">
      <c r="A80" s="16" t="s">
        <v>43</v>
      </c>
      <c r="B80" s="12">
        <v>0.17615823997815805</v>
      </c>
      <c r="C80" s="4">
        <v>0.19</v>
      </c>
      <c r="D80" s="13" t="s">
        <v>12</v>
      </c>
      <c r="E80" s="6" t="s">
        <v>44</v>
      </c>
      <c r="F80" s="17" t="s">
        <v>45</v>
      </c>
      <c r="G80" s="51"/>
    </row>
    <row r="81" spans="1:7" ht="26.25" thickBot="1" x14ac:dyDescent="0.25">
      <c r="A81" s="24" t="s">
        <v>46</v>
      </c>
      <c r="B81" s="25"/>
      <c r="C81" s="26">
        <v>1E-3</v>
      </c>
      <c r="D81" s="25"/>
      <c r="E81" s="25"/>
      <c r="F81" s="27"/>
      <c r="G81" s="51"/>
    </row>
    <row r="82" spans="1:7" ht="15" thickBot="1" x14ac:dyDescent="0.25">
      <c r="A82" s="43" t="s">
        <v>332</v>
      </c>
      <c r="B82" s="43"/>
      <c r="C82" s="43"/>
      <c r="D82" s="43"/>
      <c r="E82" s="43"/>
      <c r="F82" s="43"/>
      <c r="G82" s="51"/>
    </row>
    <row r="83" spans="1:7" x14ac:dyDescent="0.2">
      <c r="A83" s="1" t="s">
        <v>1</v>
      </c>
      <c r="B83" s="44" t="s">
        <v>65</v>
      </c>
      <c r="C83" s="45"/>
      <c r="D83" s="45"/>
      <c r="E83" s="45"/>
      <c r="F83" s="46"/>
      <c r="G83" s="51"/>
    </row>
    <row r="84" spans="1:7" ht="15" thickBot="1" x14ac:dyDescent="0.25">
      <c r="A84" s="2" t="s">
        <v>3</v>
      </c>
      <c r="B84" s="40" t="s">
        <v>66</v>
      </c>
      <c r="C84" s="41"/>
      <c r="D84" s="41"/>
      <c r="E84" s="41"/>
      <c r="F84" s="42"/>
      <c r="G84" s="51"/>
    </row>
    <row r="85" spans="1:7" ht="15" thickBot="1" x14ac:dyDescent="0.25">
      <c r="A85" s="19" t="s">
        <v>5</v>
      </c>
      <c r="B85" s="20" t="s">
        <v>6</v>
      </c>
      <c r="C85" s="21" t="s">
        <v>7</v>
      </c>
      <c r="D85" s="21" t="s">
        <v>8</v>
      </c>
      <c r="E85" s="22" t="s">
        <v>9</v>
      </c>
      <c r="F85" s="23" t="s">
        <v>10</v>
      </c>
      <c r="G85" s="51"/>
    </row>
    <row r="86" spans="1:7" ht="25.5" x14ac:dyDescent="0.2">
      <c r="A86" s="14" t="s">
        <v>11</v>
      </c>
      <c r="B86" s="3">
        <v>0.2689053226618584</v>
      </c>
      <c r="C86" s="4">
        <v>0.3</v>
      </c>
      <c r="D86" s="5" t="s">
        <v>12</v>
      </c>
      <c r="E86" s="6" t="s">
        <v>67</v>
      </c>
      <c r="F86" s="17" t="s">
        <v>14</v>
      </c>
      <c r="G86" s="51"/>
    </row>
    <row r="87" spans="1:7" x14ac:dyDescent="0.2">
      <c r="A87" s="15" t="s">
        <v>15</v>
      </c>
      <c r="B87" s="3">
        <v>0.40510590175549405</v>
      </c>
      <c r="C87" s="4">
        <v>0.37</v>
      </c>
      <c r="D87" s="7" t="s">
        <v>16</v>
      </c>
      <c r="E87" s="6" t="s">
        <v>68</v>
      </c>
      <c r="F87" s="17" t="s">
        <v>18</v>
      </c>
      <c r="G87" s="51"/>
    </row>
    <row r="88" spans="1:7" x14ac:dyDescent="0.2">
      <c r="A88" s="15" t="s">
        <v>19</v>
      </c>
      <c r="B88" s="3">
        <v>5.4428222020042969E-3</v>
      </c>
      <c r="C88" s="4">
        <v>0.03</v>
      </c>
      <c r="D88" s="7" t="s">
        <v>16</v>
      </c>
      <c r="E88" s="6" t="s">
        <v>20</v>
      </c>
      <c r="F88" s="17" t="s">
        <v>21</v>
      </c>
      <c r="G88" s="51"/>
    </row>
    <row r="89" spans="1:7" ht="38.25" x14ac:dyDescent="0.2">
      <c r="A89" s="15" t="s">
        <v>24</v>
      </c>
      <c r="B89" s="3">
        <v>0.29351941691893424</v>
      </c>
      <c r="C89" s="4">
        <v>0.26</v>
      </c>
      <c r="D89" s="7" t="s">
        <v>12</v>
      </c>
      <c r="E89" s="6" t="s">
        <v>69</v>
      </c>
      <c r="F89" s="17" t="s">
        <v>26</v>
      </c>
      <c r="G89" s="51"/>
    </row>
    <row r="90" spans="1:7" x14ac:dyDescent="0.2">
      <c r="A90" s="15" t="s">
        <v>27</v>
      </c>
      <c r="B90" s="3">
        <v>4.0677322015721121E-2</v>
      </c>
      <c r="C90" s="4">
        <v>0.06</v>
      </c>
      <c r="D90" s="7" t="s">
        <v>12</v>
      </c>
      <c r="E90" s="6" t="s">
        <v>64</v>
      </c>
      <c r="F90" s="17" t="s">
        <v>29</v>
      </c>
      <c r="G90" s="51"/>
    </row>
    <row r="91" spans="1:7" x14ac:dyDescent="0.2">
      <c r="A91" s="15" t="s">
        <v>39</v>
      </c>
      <c r="B91" s="3">
        <v>1.0307548430852115E-3</v>
      </c>
      <c r="C91" s="4">
        <v>0</v>
      </c>
      <c r="D91" s="7" t="s">
        <v>16</v>
      </c>
      <c r="E91" s="6" t="s">
        <v>23</v>
      </c>
      <c r="F91" s="17">
        <v>0</v>
      </c>
      <c r="G91" s="51"/>
    </row>
    <row r="92" spans="1:7" x14ac:dyDescent="0.2">
      <c r="A92" s="15" t="s">
        <v>42</v>
      </c>
      <c r="B92" s="9">
        <f>SUBTOTAL(109,B86:B91)</f>
        <v>1.0146815403970972</v>
      </c>
      <c r="C92" s="10">
        <f>SUBTOTAL(109,C86:C91)</f>
        <v>1.02</v>
      </c>
      <c r="D92" s="7"/>
      <c r="E92" s="11"/>
      <c r="F92" s="18"/>
      <c r="G92" s="51"/>
    </row>
    <row r="93" spans="1:7" ht="15" thickBot="1" x14ac:dyDescent="0.25">
      <c r="A93" s="16" t="s">
        <v>43</v>
      </c>
      <c r="B93" s="12">
        <v>0.1800318607387168</v>
      </c>
      <c r="C93" s="4">
        <v>0.19</v>
      </c>
      <c r="D93" s="13" t="s">
        <v>12</v>
      </c>
      <c r="E93" s="6" t="s">
        <v>44</v>
      </c>
      <c r="F93" s="17" t="s">
        <v>45</v>
      </c>
      <c r="G93" s="51"/>
    </row>
    <row r="94" spans="1:7" ht="26.25" thickBot="1" x14ac:dyDescent="0.25">
      <c r="A94" s="24" t="s">
        <v>46</v>
      </c>
      <c r="B94" s="25"/>
      <c r="C94" s="26">
        <v>0.01</v>
      </c>
      <c r="D94" s="25"/>
      <c r="E94" s="25"/>
      <c r="F94" s="27"/>
      <c r="G94" s="51"/>
    </row>
    <row r="95" spans="1:7" ht="15" thickBot="1" x14ac:dyDescent="0.25">
      <c r="A95" s="43" t="s">
        <v>332</v>
      </c>
      <c r="B95" s="43"/>
      <c r="C95" s="43"/>
      <c r="D95" s="43"/>
      <c r="E95" s="43"/>
      <c r="F95" s="43"/>
      <c r="G95" s="51"/>
    </row>
    <row r="96" spans="1:7" x14ac:dyDescent="0.2">
      <c r="A96" s="1" t="s">
        <v>1</v>
      </c>
      <c r="B96" s="44" t="s">
        <v>70</v>
      </c>
      <c r="C96" s="45"/>
      <c r="D96" s="45"/>
      <c r="E96" s="45"/>
      <c r="F96" s="46"/>
      <c r="G96" s="51"/>
    </row>
    <row r="97" spans="1:7" ht="15" thickBot="1" x14ac:dyDescent="0.25">
      <c r="A97" s="2" t="s">
        <v>3</v>
      </c>
      <c r="B97" s="40" t="s">
        <v>71</v>
      </c>
      <c r="C97" s="41"/>
      <c r="D97" s="41"/>
      <c r="E97" s="41"/>
      <c r="F97" s="42"/>
      <c r="G97" s="51"/>
    </row>
    <row r="98" spans="1:7" ht="15" thickBot="1" x14ac:dyDescent="0.25">
      <c r="A98" s="19" t="s">
        <v>5</v>
      </c>
      <c r="B98" s="20" t="s">
        <v>6</v>
      </c>
      <c r="C98" s="21" t="s">
        <v>7</v>
      </c>
      <c r="D98" s="21" t="s">
        <v>8</v>
      </c>
      <c r="E98" s="22" t="s">
        <v>9</v>
      </c>
      <c r="F98" s="23" t="s">
        <v>10</v>
      </c>
      <c r="G98" s="51"/>
    </row>
    <row r="99" spans="1:7" ht="25.5" x14ac:dyDescent="0.2">
      <c r="A99" s="14" t="s">
        <v>11</v>
      </c>
      <c r="B99" s="3">
        <v>0.4614571993889936</v>
      </c>
      <c r="C99" s="4">
        <v>0.45</v>
      </c>
      <c r="D99" s="5" t="s">
        <v>12</v>
      </c>
      <c r="E99" s="6" t="s">
        <v>13</v>
      </c>
      <c r="F99" s="17" t="s">
        <v>14</v>
      </c>
      <c r="G99" s="51"/>
    </row>
    <row r="100" spans="1:7" x14ac:dyDescent="0.2">
      <c r="A100" s="15" t="s">
        <v>15</v>
      </c>
      <c r="B100" s="3">
        <v>0.27288528396870687</v>
      </c>
      <c r="C100" s="4">
        <v>0.25</v>
      </c>
      <c r="D100" s="7" t="s">
        <v>16</v>
      </c>
      <c r="E100" s="6" t="s">
        <v>72</v>
      </c>
      <c r="F100" s="17" t="s">
        <v>18</v>
      </c>
      <c r="G100" s="51"/>
    </row>
    <row r="101" spans="1:7" x14ac:dyDescent="0.2">
      <c r="A101" s="15" t="s">
        <v>19</v>
      </c>
      <c r="B101" s="3">
        <v>2.197263413591264E-2</v>
      </c>
      <c r="C101" s="4">
        <v>0.03</v>
      </c>
      <c r="D101" s="7" t="s">
        <v>16</v>
      </c>
      <c r="E101" s="6" t="s">
        <v>20</v>
      </c>
      <c r="F101" s="17" t="s">
        <v>21</v>
      </c>
      <c r="G101" s="51"/>
    </row>
    <row r="102" spans="1:7" ht="38.25" x14ac:dyDescent="0.2">
      <c r="A102" s="15" t="s">
        <v>24</v>
      </c>
      <c r="B102" s="3">
        <v>0.2639607848905049</v>
      </c>
      <c r="C102" s="4">
        <v>0.28999999999999998</v>
      </c>
      <c r="D102" s="7" t="s">
        <v>12</v>
      </c>
      <c r="E102" s="6" t="s">
        <v>73</v>
      </c>
      <c r="F102" s="17" t="s">
        <v>26</v>
      </c>
      <c r="G102" s="51"/>
    </row>
    <row r="103" spans="1:7" x14ac:dyDescent="0.2">
      <c r="A103" s="15" t="s">
        <v>27</v>
      </c>
      <c r="B103" s="3">
        <v>4.8858735834767873E-2</v>
      </c>
      <c r="C103" s="4">
        <v>0.06</v>
      </c>
      <c r="D103" s="7" t="s">
        <v>12</v>
      </c>
      <c r="E103" s="6" t="s">
        <v>64</v>
      </c>
      <c r="F103" s="17" t="s">
        <v>29</v>
      </c>
      <c r="G103" s="51"/>
    </row>
    <row r="104" spans="1:7" x14ac:dyDescent="0.2">
      <c r="A104" s="15" t="s">
        <v>33</v>
      </c>
      <c r="B104" s="3">
        <v>9.8054080047990546E-4</v>
      </c>
      <c r="C104" s="4">
        <v>0.01</v>
      </c>
      <c r="D104" s="7" t="s">
        <v>16</v>
      </c>
      <c r="E104" s="6" t="s">
        <v>56</v>
      </c>
      <c r="F104" s="17">
        <v>0</v>
      </c>
      <c r="G104" s="51"/>
    </row>
    <row r="105" spans="1:7" x14ac:dyDescent="0.2">
      <c r="A105" s="15" t="s">
        <v>39</v>
      </c>
      <c r="B105" s="3">
        <v>1.7684157980908436E-3</v>
      </c>
      <c r="C105" s="4">
        <v>0</v>
      </c>
      <c r="D105" s="7" t="s">
        <v>16</v>
      </c>
      <c r="E105" s="6" t="s">
        <v>23</v>
      </c>
      <c r="F105" s="17">
        <v>0</v>
      </c>
      <c r="G105" s="51"/>
    </row>
    <row r="106" spans="1:7" x14ac:dyDescent="0.2">
      <c r="A106" s="15" t="s">
        <v>42</v>
      </c>
      <c r="B106" s="9">
        <f>SUBTOTAL(109,B99:B105)</f>
        <v>1.0718835948174565</v>
      </c>
      <c r="C106" s="10">
        <f>SUBTOTAL(109,C99:C105)</f>
        <v>1.0900000000000001</v>
      </c>
      <c r="D106" s="7"/>
      <c r="E106" s="11"/>
      <c r="F106" s="18"/>
      <c r="G106" s="51"/>
    </row>
    <row r="107" spans="1:7" ht="15" thickBot="1" x14ac:dyDescent="0.25">
      <c r="A107" s="16" t="s">
        <v>43</v>
      </c>
      <c r="B107" s="12">
        <v>0.17751481210670328</v>
      </c>
      <c r="C107" s="4">
        <v>0.19</v>
      </c>
      <c r="D107" s="13" t="s">
        <v>12</v>
      </c>
      <c r="E107" s="6" t="s">
        <v>44</v>
      </c>
      <c r="F107" s="17" t="s">
        <v>45</v>
      </c>
      <c r="G107" s="51"/>
    </row>
    <row r="108" spans="1:7" ht="26.25" thickBot="1" x14ac:dyDescent="0.25">
      <c r="A108" s="24" t="s">
        <v>46</v>
      </c>
      <c r="B108" s="25"/>
      <c r="C108" s="26">
        <v>1.5E-3</v>
      </c>
      <c r="D108" s="25"/>
      <c r="E108" s="25"/>
      <c r="F108" s="27"/>
      <c r="G108" s="51"/>
    </row>
    <row r="109" spans="1:7" ht="15" thickBot="1" x14ac:dyDescent="0.25">
      <c r="A109" s="43" t="s">
        <v>332</v>
      </c>
      <c r="B109" s="43"/>
      <c r="C109" s="43"/>
      <c r="D109" s="43"/>
      <c r="E109" s="43"/>
      <c r="F109" s="43"/>
      <c r="G109" s="51"/>
    </row>
    <row r="110" spans="1:7" x14ac:dyDescent="0.2">
      <c r="A110" s="1" t="s">
        <v>1</v>
      </c>
      <c r="B110" s="44" t="s">
        <v>74</v>
      </c>
      <c r="C110" s="45"/>
      <c r="D110" s="45"/>
      <c r="E110" s="45"/>
      <c r="F110" s="46"/>
      <c r="G110" s="51"/>
    </row>
    <row r="111" spans="1:7" ht="15" thickBot="1" x14ac:dyDescent="0.25">
      <c r="A111" s="2" t="s">
        <v>3</v>
      </c>
      <c r="B111" s="40" t="s">
        <v>75</v>
      </c>
      <c r="C111" s="41"/>
      <c r="D111" s="41"/>
      <c r="E111" s="41"/>
      <c r="F111" s="42"/>
      <c r="G111" s="51"/>
    </row>
    <row r="112" spans="1:7" ht="15" thickBot="1" x14ac:dyDescent="0.25">
      <c r="A112" s="19" t="s">
        <v>5</v>
      </c>
      <c r="B112" s="20" t="s">
        <v>6</v>
      </c>
      <c r="C112" s="21" t="s">
        <v>7</v>
      </c>
      <c r="D112" s="21" t="s">
        <v>8</v>
      </c>
      <c r="E112" s="22" t="s">
        <v>9</v>
      </c>
      <c r="F112" s="23" t="s">
        <v>10</v>
      </c>
      <c r="G112" s="51"/>
    </row>
    <row r="113" spans="1:7" ht="25.5" x14ac:dyDescent="0.2">
      <c r="A113" s="14" t="s">
        <v>11</v>
      </c>
      <c r="B113" s="3">
        <v>0.45979815619582748</v>
      </c>
      <c r="C113" s="4">
        <v>0.45</v>
      </c>
      <c r="D113" s="5" t="s">
        <v>12</v>
      </c>
      <c r="E113" s="6" t="s">
        <v>13</v>
      </c>
      <c r="F113" s="17" t="s">
        <v>14</v>
      </c>
      <c r="G113" s="51"/>
    </row>
    <row r="114" spans="1:7" x14ac:dyDescent="0.2">
      <c r="A114" s="15" t="s">
        <v>15</v>
      </c>
      <c r="B114" s="3">
        <v>0.19774793709139668</v>
      </c>
      <c r="C114" s="4">
        <v>0.2</v>
      </c>
      <c r="D114" s="7" t="s">
        <v>16</v>
      </c>
      <c r="E114" s="6" t="s">
        <v>53</v>
      </c>
      <c r="F114" s="17" t="s">
        <v>18</v>
      </c>
      <c r="G114" s="51"/>
    </row>
    <row r="115" spans="1:7" x14ac:dyDescent="0.2">
      <c r="A115" s="15" t="s">
        <v>19</v>
      </c>
      <c r="B115" s="3">
        <v>1.9719854119180927E-2</v>
      </c>
      <c r="C115" s="4">
        <v>0.03</v>
      </c>
      <c r="D115" s="7" t="s">
        <v>16</v>
      </c>
      <c r="E115" s="6" t="s">
        <v>20</v>
      </c>
      <c r="F115" s="17" t="s">
        <v>21</v>
      </c>
      <c r="G115" s="51"/>
    </row>
    <row r="116" spans="1:7" ht="38.25" x14ac:dyDescent="0.2">
      <c r="A116" s="15" t="s">
        <v>24</v>
      </c>
      <c r="B116" s="3">
        <v>0.20260569088447153</v>
      </c>
      <c r="C116" s="4">
        <v>0.21</v>
      </c>
      <c r="D116" s="7" t="s">
        <v>12</v>
      </c>
      <c r="E116" s="6" t="s">
        <v>60</v>
      </c>
      <c r="F116" s="17" t="s">
        <v>26</v>
      </c>
      <c r="G116" s="51"/>
    </row>
    <row r="117" spans="1:7" x14ac:dyDescent="0.2">
      <c r="A117" s="15" t="s">
        <v>27</v>
      </c>
      <c r="B117" s="3">
        <v>6.0330463558457031E-2</v>
      </c>
      <c r="C117" s="4">
        <v>7.0000000000000007E-2</v>
      </c>
      <c r="D117" s="7" t="s">
        <v>12</v>
      </c>
      <c r="E117" s="6" t="s">
        <v>28</v>
      </c>
      <c r="F117" s="17" t="s">
        <v>29</v>
      </c>
      <c r="G117" s="51"/>
    </row>
    <row r="118" spans="1:7" x14ac:dyDescent="0.2">
      <c r="A118" s="15" t="s">
        <v>30</v>
      </c>
      <c r="B118" s="3">
        <v>2.0441828280261923E-2</v>
      </c>
      <c r="C118" s="4">
        <v>0.03</v>
      </c>
      <c r="D118" s="7" t="s">
        <v>16</v>
      </c>
      <c r="E118" s="6" t="s">
        <v>50</v>
      </c>
      <c r="F118" s="17" t="s">
        <v>32</v>
      </c>
      <c r="G118" s="51"/>
    </row>
    <row r="119" spans="1:7" x14ac:dyDescent="0.2">
      <c r="A119" s="15" t="s">
        <v>33</v>
      </c>
      <c r="B119" s="3">
        <v>3.5875283908380996E-2</v>
      </c>
      <c r="C119" s="4">
        <v>0.04</v>
      </c>
      <c r="D119" s="7" t="s">
        <v>16</v>
      </c>
      <c r="E119" s="6" t="s">
        <v>31</v>
      </c>
      <c r="F119" s="17" t="s">
        <v>34</v>
      </c>
      <c r="G119" s="51"/>
    </row>
    <row r="120" spans="1:7" x14ac:dyDescent="0.2">
      <c r="A120" s="15" t="s">
        <v>35</v>
      </c>
      <c r="B120" s="3">
        <v>3.30851261672237E-2</v>
      </c>
      <c r="C120" s="4">
        <v>0.04</v>
      </c>
      <c r="D120" s="7" t="s">
        <v>16</v>
      </c>
      <c r="E120" s="6" t="s">
        <v>31</v>
      </c>
      <c r="F120" s="17" t="s">
        <v>36</v>
      </c>
      <c r="G120" s="51"/>
    </row>
    <row r="121" spans="1:7" x14ac:dyDescent="0.2">
      <c r="A121" s="15" t="s">
        <v>37</v>
      </c>
      <c r="B121" s="3">
        <v>2.7754537078005761E-2</v>
      </c>
      <c r="C121" s="4">
        <v>0.03</v>
      </c>
      <c r="D121" s="7" t="s">
        <v>16</v>
      </c>
      <c r="E121" s="6" t="s">
        <v>50</v>
      </c>
      <c r="F121" s="17" t="s">
        <v>38</v>
      </c>
      <c r="G121" s="51"/>
    </row>
    <row r="122" spans="1:7" x14ac:dyDescent="0.2">
      <c r="A122" s="15" t="s">
        <v>39</v>
      </c>
      <c r="B122" s="3">
        <v>1.7707912849719443E-3</v>
      </c>
      <c r="C122" s="4">
        <v>0</v>
      </c>
      <c r="D122" s="7" t="s">
        <v>16</v>
      </c>
      <c r="E122" s="6" t="s">
        <v>23</v>
      </c>
      <c r="F122" s="17">
        <v>0</v>
      </c>
      <c r="G122" s="51"/>
    </row>
    <row r="123" spans="1:7" x14ac:dyDescent="0.2">
      <c r="A123" s="15" t="s">
        <v>42</v>
      </c>
      <c r="B123" s="9">
        <f>SUBTOTAL(109,B113:B122)</f>
        <v>1.0591296685681781</v>
      </c>
      <c r="C123" s="10">
        <f>SUBTOTAL(109,C113:C122)</f>
        <v>1.1000000000000001</v>
      </c>
      <c r="D123" s="7"/>
      <c r="E123" s="11"/>
      <c r="F123" s="18"/>
      <c r="G123" s="51"/>
    </row>
    <row r="124" spans="1:7" ht="15" thickBot="1" x14ac:dyDescent="0.25">
      <c r="A124" s="16" t="s">
        <v>43</v>
      </c>
      <c r="B124" s="12">
        <v>0.18037334388276383</v>
      </c>
      <c r="C124" s="4">
        <v>0.19</v>
      </c>
      <c r="D124" s="13" t="s">
        <v>12</v>
      </c>
      <c r="E124" s="6" t="s">
        <v>44</v>
      </c>
      <c r="F124" s="17" t="s">
        <v>45</v>
      </c>
      <c r="G124" s="51"/>
    </row>
    <row r="125" spans="1:7" ht="26.25" thickBot="1" x14ac:dyDescent="0.25">
      <c r="A125" s="24" t="s">
        <v>46</v>
      </c>
      <c r="B125" s="25"/>
      <c r="C125" s="26">
        <v>2.3999999999999998E-3</v>
      </c>
      <c r="D125" s="25"/>
      <c r="E125" s="25"/>
      <c r="F125" s="27"/>
      <c r="G125" s="51"/>
    </row>
    <row r="126" spans="1:7" ht="15" thickBot="1" x14ac:dyDescent="0.25">
      <c r="A126" s="43" t="s">
        <v>332</v>
      </c>
      <c r="B126" s="43"/>
      <c r="C126" s="43"/>
      <c r="D126" s="43"/>
      <c r="E126" s="43"/>
      <c r="F126" s="43"/>
      <c r="G126" s="51"/>
    </row>
    <row r="127" spans="1:7" x14ac:dyDescent="0.2">
      <c r="A127" s="1" t="s">
        <v>1</v>
      </c>
      <c r="B127" s="44" t="s">
        <v>76</v>
      </c>
      <c r="C127" s="45"/>
      <c r="D127" s="45"/>
      <c r="E127" s="45"/>
      <c r="F127" s="46"/>
      <c r="G127" s="51"/>
    </row>
    <row r="128" spans="1:7" ht="15" thickBot="1" x14ac:dyDescent="0.25">
      <c r="A128" s="2" t="s">
        <v>3</v>
      </c>
      <c r="B128" s="40" t="s">
        <v>77</v>
      </c>
      <c r="C128" s="41"/>
      <c r="D128" s="41"/>
      <c r="E128" s="41"/>
      <c r="F128" s="42"/>
      <c r="G128" s="51"/>
    </row>
    <row r="129" spans="1:7" ht="15" thickBot="1" x14ac:dyDescent="0.25">
      <c r="A129" s="19" t="s">
        <v>5</v>
      </c>
      <c r="B129" s="20" t="s">
        <v>6</v>
      </c>
      <c r="C129" s="21" t="s">
        <v>7</v>
      </c>
      <c r="D129" s="21" t="s">
        <v>8</v>
      </c>
      <c r="E129" s="22" t="s">
        <v>9</v>
      </c>
      <c r="F129" s="23" t="s">
        <v>10</v>
      </c>
      <c r="G129" s="51"/>
    </row>
    <row r="130" spans="1:7" ht="25.5" x14ac:dyDescent="0.2">
      <c r="A130" s="14" t="s">
        <v>11</v>
      </c>
      <c r="B130" s="3">
        <v>0.46072077632668373</v>
      </c>
      <c r="C130" s="4">
        <v>0.45</v>
      </c>
      <c r="D130" s="5" t="s">
        <v>12</v>
      </c>
      <c r="E130" s="6" t="s">
        <v>13</v>
      </c>
      <c r="F130" s="17" t="s">
        <v>14</v>
      </c>
      <c r="G130" s="51"/>
    </row>
    <row r="131" spans="1:7" x14ac:dyDescent="0.2">
      <c r="A131" s="15" t="s">
        <v>15</v>
      </c>
      <c r="B131" s="3">
        <v>5.3820154785232041E-2</v>
      </c>
      <c r="C131" s="4">
        <v>0.03</v>
      </c>
      <c r="D131" s="7" t="s">
        <v>16</v>
      </c>
      <c r="E131" s="6" t="s">
        <v>50</v>
      </c>
      <c r="F131" s="17" t="s">
        <v>18</v>
      </c>
      <c r="G131" s="51"/>
    </row>
    <row r="132" spans="1:7" x14ac:dyDescent="0.2">
      <c r="A132" s="15" t="s">
        <v>19</v>
      </c>
      <c r="B132" s="3">
        <v>1.7847147839007323E-2</v>
      </c>
      <c r="C132" s="4">
        <v>0.03</v>
      </c>
      <c r="D132" s="7" t="s">
        <v>16</v>
      </c>
      <c r="E132" s="6" t="s">
        <v>20</v>
      </c>
      <c r="F132" s="17" t="s">
        <v>21</v>
      </c>
      <c r="G132" s="51"/>
    </row>
    <row r="133" spans="1:7" x14ac:dyDescent="0.2">
      <c r="A133" s="15" t="s">
        <v>22</v>
      </c>
      <c r="B133" s="3">
        <v>0.27218236788280381</v>
      </c>
      <c r="C133" s="4">
        <v>0.28000000000000003</v>
      </c>
      <c r="D133" s="7" t="s">
        <v>16</v>
      </c>
      <c r="E133" s="6" t="s">
        <v>78</v>
      </c>
      <c r="F133" s="17" t="s">
        <v>79</v>
      </c>
      <c r="G133" s="51"/>
    </row>
    <row r="134" spans="1:7" ht="38.25" x14ac:dyDescent="0.2">
      <c r="A134" s="15" t="s">
        <v>24</v>
      </c>
      <c r="B134" s="3">
        <v>0.12730095216731704</v>
      </c>
      <c r="C134" s="4">
        <v>0.14000000000000001</v>
      </c>
      <c r="D134" s="7" t="s">
        <v>12</v>
      </c>
      <c r="E134" s="6" t="s">
        <v>80</v>
      </c>
      <c r="F134" s="17" t="s">
        <v>26</v>
      </c>
      <c r="G134" s="51"/>
    </row>
    <row r="135" spans="1:7" x14ac:dyDescent="0.2">
      <c r="A135" s="15" t="s">
        <v>27</v>
      </c>
      <c r="B135" s="3">
        <v>4.2251957680456184E-2</v>
      </c>
      <c r="C135" s="4">
        <v>0.04</v>
      </c>
      <c r="D135" s="7" t="s">
        <v>12</v>
      </c>
      <c r="E135" s="6" t="s">
        <v>40</v>
      </c>
      <c r="F135" s="17" t="s">
        <v>29</v>
      </c>
      <c r="G135" s="51"/>
    </row>
    <row r="136" spans="1:7" x14ac:dyDescent="0.2">
      <c r="A136" s="15" t="s">
        <v>33</v>
      </c>
      <c r="B136" s="3">
        <v>3.3051675173088879E-2</v>
      </c>
      <c r="C136" s="4">
        <v>0.04</v>
      </c>
      <c r="D136" s="7" t="s">
        <v>16</v>
      </c>
      <c r="E136" s="6" t="s">
        <v>31</v>
      </c>
      <c r="F136" s="17" t="s">
        <v>34</v>
      </c>
      <c r="G136" s="51"/>
    </row>
    <row r="137" spans="1:7" x14ac:dyDescent="0.2">
      <c r="A137" s="15" t="s">
        <v>35</v>
      </c>
      <c r="B137" s="3">
        <v>3.338876400852557E-2</v>
      </c>
      <c r="C137" s="4">
        <v>0.04</v>
      </c>
      <c r="D137" s="7" t="s">
        <v>16</v>
      </c>
      <c r="E137" s="6" t="s">
        <v>31</v>
      </c>
      <c r="F137" s="17" t="s">
        <v>36</v>
      </c>
      <c r="G137" s="51"/>
    </row>
    <row r="138" spans="1:7" x14ac:dyDescent="0.2">
      <c r="A138" s="15" t="s">
        <v>37</v>
      </c>
      <c r="B138" s="3">
        <v>2.5093548878437077E-2</v>
      </c>
      <c r="C138" s="4">
        <v>0.03</v>
      </c>
      <c r="D138" s="7" t="s">
        <v>16</v>
      </c>
      <c r="E138" s="6" t="s">
        <v>50</v>
      </c>
      <c r="F138" s="17" t="s">
        <v>38</v>
      </c>
      <c r="G138" s="51"/>
    </row>
    <row r="139" spans="1:7" x14ac:dyDescent="0.2">
      <c r="A139" s="15" t="s">
        <v>39</v>
      </c>
      <c r="B139" s="3">
        <v>1.7743158854613748E-3</v>
      </c>
      <c r="C139" s="4">
        <v>0</v>
      </c>
      <c r="D139" s="7" t="s">
        <v>16</v>
      </c>
      <c r="E139" s="6" t="s">
        <v>23</v>
      </c>
      <c r="F139" s="17">
        <v>0</v>
      </c>
      <c r="G139" s="51"/>
    </row>
    <row r="140" spans="1:7" x14ac:dyDescent="0.2">
      <c r="A140" s="15" t="s">
        <v>42</v>
      </c>
      <c r="B140" s="9">
        <f>SUBTOTAL(109,B130:B139)</f>
        <v>1.0674316606270131</v>
      </c>
      <c r="C140" s="10">
        <f>SUBTOTAL(109,C130:C139)</f>
        <v>1.08</v>
      </c>
      <c r="D140" s="7"/>
      <c r="E140" s="11"/>
      <c r="F140" s="18"/>
      <c r="G140" s="51"/>
    </row>
    <row r="141" spans="1:7" ht="15" thickBot="1" x14ac:dyDescent="0.25">
      <c r="A141" s="16" t="s">
        <v>43</v>
      </c>
      <c r="B141" s="12">
        <v>0.18085219656478793</v>
      </c>
      <c r="C141" s="4">
        <v>0.19</v>
      </c>
      <c r="D141" s="13" t="s">
        <v>12</v>
      </c>
      <c r="E141" s="6" t="s">
        <v>44</v>
      </c>
      <c r="F141" s="17" t="s">
        <v>45</v>
      </c>
      <c r="G141" s="51"/>
    </row>
    <row r="142" spans="1:7" ht="26.25" thickBot="1" x14ac:dyDescent="0.25">
      <c r="A142" s="24" t="s">
        <v>46</v>
      </c>
      <c r="B142" s="25"/>
      <c r="C142" s="26">
        <v>2.3999999999999998E-3</v>
      </c>
      <c r="D142" s="25"/>
      <c r="E142" s="25"/>
      <c r="F142" s="27"/>
      <c r="G142" s="51"/>
    </row>
    <row r="143" spans="1:7" ht="15" thickBot="1" x14ac:dyDescent="0.25">
      <c r="A143" s="43" t="s">
        <v>332</v>
      </c>
      <c r="B143" s="43"/>
      <c r="C143" s="43"/>
      <c r="D143" s="43"/>
      <c r="E143" s="43"/>
      <c r="F143" s="43"/>
      <c r="G143" s="51"/>
    </row>
    <row r="144" spans="1:7" x14ac:dyDescent="0.2">
      <c r="A144" s="1" t="s">
        <v>1</v>
      </c>
      <c r="B144" s="44" t="s">
        <v>81</v>
      </c>
      <c r="C144" s="45"/>
      <c r="D144" s="45"/>
      <c r="E144" s="45"/>
      <c r="F144" s="46"/>
      <c r="G144" s="51"/>
    </row>
    <row r="145" spans="1:7" ht="15" thickBot="1" x14ac:dyDescent="0.25">
      <c r="A145" s="2" t="s">
        <v>3</v>
      </c>
      <c r="B145" s="40" t="s">
        <v>82</v>
      </c>
      <c r="C145" s="41"/>
      <c r="D145" s="41"/>
      <c r="E145" s="41"/>
      <c r="F145" s="42"/>
      <c r="G145" s="51"/>
    </row>
    <row r="146" spans="1:7" ht="15" thickBot="1" x14ac:dyDescent="0.25">
      <c r="A146" s="19" t="s">
        <v>5</v>
      </c>
      <c r="B146" s="20" t="s">
        <v>6</v>
      </c>
      <c r="C146" s="21" t="s">
        <v>7</v>
      </c>
      <c r="D146" s="21" t="s">
        <v>8</v>
      </c>
      <c r="E146" s="22" t="s">
        <v>9</v>
      </c>
      <c r="F146" s="23" t="s">
        <v>10</v>
      </c>
      <c r="G146" s="51"/>
    </row>
    <row r="147" spans="1:7" ht="25.5" x14ac:dyDescent="0.2">
      <c r="A147" s="14" t="s">
        <v>11</v>
      </c>
      <c r="B147" s="3">
        <v>0.45975974014988918</v>
      </c>
      <c r="C147" s="4">
        <v>0.45</v>
      </c>
      <c r="D147" s="5" t="s">
        <v>12</v>
      </c>
      <c r="E147" s="6" t="s">
        <v>13</v>
      </c>
      <c r="F147" s="17" t="s">
        <v>14</v>
      </c>
      <c r="G147" s="51"/>
    </row>
    <row r="148" spans="1:7" x14ac:dyDescent="0.2">
      <c r="A148" s="15" t="s">
        <v>15</v>
      </c>
      <c r="B148" s="3">
        <v>0.23691621930920534</v>
      </c>
      <c r="C148" s="4">
        <v>0.25</v>
      </c>
      <c r="D148" s="7" t="s">
        <v>16</v>
      </c>
      <c r="E148" s="6" t="s">
        <v>72</v>
      </c>
      <c r="F148" s="17" t="s">
        <v>18</v>
      </c>
      <c r="G148" s="51"/>
    </row>
    <row r="149" spans="1:7" x14ac:dyDescent="0.2">
      <c r="A149" s="15" t="s">
        <v>19</v>
      </c>
      <c r="B149" s="3">
        <v>2.0604118807296415E-2</v>
      </c>
      <c r="C149" s="4">
        <v>0.03</v>
      </c>
      <c r="D149" s="7" t="s">
        <v>16</v>
      </c>
      <c r="E149" s="6" t="s">
        <v>20</v>
      </c>
      <c r="F149" s="17" t="s">
        <v>21</v>
      </c>
      <c r="G149" s="51"/>
    </row>
    <row r="150" spans="1:7" ht="38.25" x14ac:dyDescent="0.2">
      <c r="A150" s="15" t="s">
        <v>24</v>
      </c>
      <c r="B150" s="3">
        <v>0.21802906579948564</v>
      </c>
      <c r="C150" s="4">
        <v>0.22</v>
      </c>
      <c r="D150" s="7" t="s">
        <v>12</v>
      </c>
      <c r="E150" s="6" t="s">
        <v>83</v>
      </c>
      <c r="F150" s="17" t="s">
        <v>26</v>
      </c>
      <c r="G150" s="51"/>
    </row>
    <row r="151" spans="1:7" x14ac:dyDescent="0.2">
      <c r="A151" s="15" t="s">
        <v>27</v>
      </c>
      <c r="B151" s="3">
        <v>5.9509623821505014E-2</v>
      </c>
      <c r="C151" s="4">
        <v>0.08</v>
      </c>
      <c r="D151" s="7" t="s">
        <v>12</v>
      </c>
      <c r="E151" s="6" t="s">
        <v>61</v>
      </c>
      <c r="F151" s="17" t="s">
        <v>29</v>
      </c>
      <c r="G151" s="51"/>
    </row>
    <row r="152" spans="1:7" x14ac:dyDescent="0.2">
      <c r="A152" s="15" t="s">
        <v>33</v>
      </c>
      <c r="B152" s="3">
        <v>3.0464261109669665E-2</v>
      </c>
      <c r="C152" s="4">
        <v>0.04</v>
      </c>
      <c r="D152" s="7" t="s">
        <v>16</v>
      </c>
      <c r="E152" s="6" t="s">
        <v>31</v>
      </c>
      <c r="F152" s="17" t="s">
        <v>34</v>
      </c>
      <c r="G152" s="51"/>
    </row>
    <row r="153" spans="1:7" x14ac:dyDescent="0.2">
      <c r="A153" s="15" t="s">
        <v>35</v>
      </c>
      <c r="B153" s="3">
        <v>3.0299800351505906E-2</v>
      </c>
      <c r="C153" s="4">
        <v>0.04</v>
      </c>
      <c r="D153" s="7" t="s">
        <v>16</v>
      </c>
      <c r="E153" s="6" t="s">
        <v>31</v>
      </c>
      <c r="F153" s="17" t="s">
        <v>36</v>
      </c>
      <c r="G153" s="51"/>
    </row>
    <row r="154" spans="1:7" x14ac:dyDescent="0.2">
      <c r="A154" s="15" t="s">
        <v>39</v>
      </c>
      <c r="B154" s="3">
        <v>1.7743857108943092E-3</v>
      </c>
      <c r="C154" s="4">
        <v>0</v>
      </c>
      <c r="D154" s="7" t="s">
        <v>16</v>
      </c>
      <c r="E154" s="6" t="s">
        <v>23</v>
      </c>
      <c r="F154" s="17">
        <v>0</v>
      </c>
      <c r="G154" s="51"/>
    </row>
    <row r="155" spans="1:7" x14ac:dyDescent="0.2">
      <c r="A155" s="15" t="s">
        <v>42</v>
      </c>
      <c r="B155" s="9">
        <f>SUBTOTAL(109,B147:B154)</f>
        <v>1.0573572150594515</v>
      </c>
      <c r="C155" s="10">
        <f>SUBTOTAL(109,C147:C154)</f>
        <v>1.1100000000000001</v>
      </c>
      <c r="D155" s="7"/>
      <c r="E155" s="11"/>
      <c r="F155" s="18"/>
      <c r="G155" s="51"/>
    </row>
    <row r="156" spans="1:7" ht="15" thickBot="1" x14ac:dyDescent="0.25">
      <c r="A156" s="16" t="s">
        <v>43</v>
      </c>
      <c r="B156" s="12">
        <v>0.1807875871077789</v>
      </c>
      <c r="C156" s="4">
        <v>0.19</v>
      </c>
      <c r="D156" s="13" t="s">
        <v>12</v>
      </c>
      <c r="E156" s="6" t="s">
        <v>44</v>
      </c>
      <c r="F156" s="17" t="s">
        <v>45</v>
      </c>
      <c r="G156" s="51"/>
    </row>
    <row r="157" spans="1:7" ht="26.25" thickBot="1" x14ac:dyDescent="0.25">
      <c r="A157" s="24" t="s">
        <v>46</v>
      </c>
      <c r="B157" s="25"/>
      <c r="C157" s="26">
        <v>2.3999999999999998E-3</v>
      </c>
      <c r="D157" s="25"/>
      <c r="E157" s="25"/>
      <c r="F157" s="27"/>
      <c r="G157" s="51"/>
    </row>
    <row r="158" spans="1:7" ht="15" thickBot="1" x14ac:dyDescent="0.25">
      <c r="A158" s="43" t="s">
        <v>332</v>
      </c>
      <c r="B158" s="43"/>
      <c r="C158" s="43"/>
      <c r="D158" s="43"/>
      <c r="E158" s="43"/>
      <c r="F158" s="43"/>
      <c r="G158" s="51"/>
    </row>
    <row r="159" spans="1:7" x14ac:dyDescent="0.2">
      <c r="A159" s="1" t="s">
        <v>1</v>
      </c>
      <c r="B159" s="44" t="s">
        <v>84</v>
      </c>
      <c r="C159" s="45"/>
      <c r="D159" s="45"/>
      <c r="E159" s="45"/>
      <c r="F159" s="46"/>
      <c r="G159" s="51"/>
    </row>
    <row r="160" spans="1:7" ht="15" thickBot="1" x14ac:dyDescent="0.25">
      <c r="A160" s="2" t="s">
        <v>3</v>
      </c>
      <c r="B160" s="40" t="s">
        <v>85</v>
      </c>
      <c r="C160" s="41"/>
      <c r="D160" s="41"/>
      <c r="E160" s="41"/>
      <c r="F160" s="42"/>
      <c r="G160" s="51"/>
    </row>
    <row r="161" spans="1:7" ht="15" thickBot="1" x14ac:dyDescent="0.25">
      <c r="A161" s="19" t="s">
        <v>5</v>
      </c>
      <c r="B161" s="20" t="s">
        <v>6</v>
      </c>
      <c r="C161" s="21" t="s">
        <v>7</v>
      </c>
      <c r="D161" s="21" t="s">
        <v>8</v>
      </c>
      <c r="E161" s="22" t="s">
        <v>9</v>
      </c>
      <c r="F161" s="23" t="s">
        <v>10</v>
      </c>
      <c r="G161" s="51"/>
    </row>
    <row r="162" spans="1:7" ht="25.5" x14ac:dyDescent="0.2">
      <c r="A162" s="14" t="s">
        <v>11</v>
      </c>
      <c r="B162" s="3">
        <v>0.55768876805801526</v>
      </c>
      <c r="C162" s="4">
        <v>0.54</v>
      </c>
      <c r="D162" s="5" t="s">
        <v>12</v>
      </c>
      <c r="E162" s="6" t="s">
        <v>86</v>
      </c>
      <c r="F162" s="17" t="s">
        <v>14</v>
      </c>
      <c r="G162" s="51"/>
    </row>
    <row r="163" spans="1:7" x14ac:dyDescent="0.2">
      <c r="A163" s="15" t="s">
        <v>15</v>
      </c>
      <c r="B163" s="3">
        <v>1.4271949588170381E-2</v>
      </c>
      <c r="C163" s="4">
        <v>0</v>
      </c>
      <c r="D163" s="7" t="s">
        <v>16</v>
      </c>
      <c r="E163" s="6" t="s">
        <v>23</v>
      </c>
      <c r="F163" s="17" t="s">
        <v>18</v>
      </c>
      <c r="G163" s="51"/>
    </row>
    <row r="164" spans="1:7" x14ac:dyDescent="0.2">
      <c r="A164" s="15" t="s">
        <v>19</v>
      </c>
      <c r="B164" s="3">
        <v>1.6716083929985047E-2</v>
      </c>
      <c r="C164" s="4">
        <v>0.02</v>
      </c>
      <c r="D164" s="7" t="s">
        <v>16</v>
      </c>
      <c r="E164" s="6" t="s">
        <v>87</v>
      </c>
      <c r="F164" s="17" t="s">
        <v>21</v>
      </c>
      <c r="G164" s="51"/>
    </row>
    <row r="165" spans="1:7" x14ac:dyDescent="0.2">
      <c r="A165" s="15" t="s">
        <v>22</v>
      </c>
      <c r="B165" s="3">
        <v>0.27025429367924919</v>
      </c>
      <c r="C165" s="4">
        <v>0.28000000000000003</v>
      </c>
      <c r="D165" s="7" t="s">
        <v>16</v>
      </c>
      <c r="E165" s="6" t="s">
        <v>78</v>
      </c>
      <c r="F165" s="17" t="s">
        <v>79</v>
      </c>
      <c r="G165" s="51"/>
    </row>
    <row r="166" spans="1:7" ht="38.25" x14ac:dyDescent="0.2">
      <c r="A166" s="15" t="s">
        <v>24</v>
      </c>
      <c r="B166" s="3">
        <v>9.4365311540138386E-2</v>
      </c>
      <c r="C166" s="4">
        <v>0.09</v>
      </c>
      <c r="D166" s="7" t="s">
        <v>12</v>
      </c>
      <c r="E166" s="6" t="s">
        <v>55</v>
      </c>
      <c r="F166" s="17" t="s">
        <v>26</v>
      </c>
      <c r="G166" s="51"/>
    </row>
    <row r="167" spans="1:7" x14ac:dyDescent="0.2">
      <c r="A167" s="15" t="s">
        <v>27</v>
      </c>
      <c r="B167" s="3">
        <v>3.8340070864539715E-2</v>
      </c>
      <c r="C167" s="4">
        <v>0.05</v>
      </c>
      <c r="D167" s="7" t="s">
        <v>12</v>
      </c>
      <c r="E167" s="6" t="s">
        <v>88</v>
      </c>
      <c r="F167" s="17" t="s">
        <v>29</v>
      </c>
      <c r="G167" s="51"/>
    </row>
    <row r="168" spans="1:7" x14ac:dyDescent="0.2">
      <c r="A168" s="15" t="s">
        <v>30</v>
      </c>
      <c r="B168" s="3">
        <v>3.0282284003522687E-3</v>
      </c>
      <c r="C168" s="4">
        <v>0.01</v>
      </c>
      <c r="D168" s="7" t="s">
        <v>16</v>
      </c>
      <c r="E168" s="6" t="s">
        <v>56</v>
      </c>
      <c r="F168" s="17" t="s">
        <v>32</v>
      </c>
      <c r="G168" s="51"/>
    </row>
    <row r="169" spans="1:7" x14ac:dyDescent="0.2">
      <c r="A169" s="15" t="s">
        <v>33</v>
      </c>
      <c r="B169" s="3">
        <v>3.4550843156234516E-2</v>
      </c>
      <c r="C169" s="4">
        <v>0.04</v>
      </c>
      <c r="D169" s="7" t="s">
        <v>16</v>
      </c>
      <c r="E169" s="6" t="s">
        <v>31</v>
      </c>
      <c r="F169" s="17" t="s">
        <v>34</v>
      </c>
      <c r="G169" s="51"/>
    </row>
    <row r="170" spans="1:7" x14ac:dyDescent="0.2">
      <c r="A170" s="15" t="s">
        <v>35</v>
      </c>
      <c r="B170" s="3">
        <v>2.4111775573498688E-2</v>
      </c>
      <c r="C170" s="4">
        <v>0.04</v>
      </c>
      <c r="D170" s="7" t="s">
        <v>16</v>
      </c>
      <c r="E170" s="6" t="s">
        <v>31</v>
      </c>
      <c r="F170" s="17" t="s">
        <v>36</v>
      </c>
      <c r="G170" s="51"/>
    </row>
    <row r="171" spans="1:7" x14ac:dyDescent="0.2">
      <c r="A171" s="15" t="s">
        <v>37</v>
      </c>
      <c r="B171" s="3">
        <v>2.8828727864119493E-2</v>
      </c>
      <c r="C171" s="4">
        <v>0.03</v>
      </c>
      <c r="D171" s="7" t="s">
        <v>16</v>
      </c>
      <c r="E171" s="6" t="s">
        <v>50</v>
      </c>
      <c r="F171" s="17" t="s">
        <v>38</v>
      </c>
      <c r="G171" s="51"/>
    </row>
    <row r="172" spans="1:7" x14ac:dyDescent="0.2">
      <c r="A172" s="15" t="s">
        <v>39</v>
      </c>
      <c r="B172" s="3">
        <v>2.1406488509019797E-3</v>
      </c>
      <c r="C172" s="4">
        <v>0</v>
      </c>
      <c r="D172" s="7" t="s">
        <v>16</v>
      </c>
      <c r="E172" s="6" t="s">
        <v>23</v>
      </c>
      <c r="F172" s="17">
        <v>0</v>
      </c>
      <c r="G172" s="51"/>
    </row>
    <row r="173" spans="1:7" x14ac:dyDescent="0.2">
      <c r="A173" s="15" t="s">
        <v>42</v>
      </c>
      <c r="B173" s="9">
        <f>SUBTOTAL(109,B162:B172)</f>
        <v>1.084296701505205</v>
      </c>
      <c r="C173" s="10">
        <f>SUBTOTAL(109,C162:C172)</f>
        <v>1.1000000000000001</v>
      </c>
      <c r="D173" s="7"/>
      <c r="E173" s="11"/>
      <c r="F173" s="18"/>
      <c r="G173" s="51"/>
    </row>
    <row r="174" spans="1:7" ht="15" thickBot="1" x14ac:dyDescent="0.25">
      <c r="A174" s="16" t="s">
        <v>43</v>
      </c>
      <c r="B174" s="12">
        <v>0.19477600737118791</v>
      </c>
      <c r="C174" s="4">
        <v>0.21</v>
      </c>
      <c r="D174" s="13" t="s">
        <v>12</v>
      </c>
      <c r="E174" s="6" t="s">
        <v>60</v>
      </c>
      <c r="F174" s="17" t="s">
        <v>45</v>
      </c>
      <c r="G174" s="51"/>
    </row>
    <row r="175" spans="1:7" ht="26.25" thickBot="1" x14ac:dyDescent="0.25">
      <c r="A175" s="24" t="s">
        <v>46</v>
      </c>
      <c r="B175" s="25"/>
      <c r="C175" s="26">
        <v>2.3999999999999998E-3</v>
      </c>
      <c r="D175" s="25"/>
      <c r="E175" s="25"/>
      <c r="F175" s="27"/>
      <c r="G175" s="51"/>
    </row>
    <row r="176" spans="1:7" ht="15" thickBot="1" x14ac:dyDescent="0.25">
      <c r="A176" s="43" t="s">
        <v>332</v>
      </c>
      <c r="B176" s="43"/>
      <c r="C176" s="43"/>
      <c r="D176" s="43"/>
      <c r="E176" s="43"/>
      <c r="F176" s="43"/>
      <c r="G176" s="51"/>
    </row>
    <row r="177" spans="1:7" x14ac:dyDescent="0.2">
      <c r="A177" s="1" t="s">
        <v>1</v>
      </c>
      <c r="B177" s="44" t="s">
        <v>90</v>
      </c>
      <c r="C177" s="45"/>
      <c r="D177" s="45"/>
      <c r="E177" s="45"/>
      <c r="F177" s="46"/>
      <c r="G177" s="51"/>
    </row>
    <row r="178" spans="1:7" ht="15" thickBot="1" x14ac:dyDescent="0.25">
      <c r="A178" s="2" t="s">
        <v>3</v>
      </c>
      <c r="B178" s="40" t="s">
        <v>91</v>
      </c>
      <c r="C178" s="41"/>
      <c r="D178" s="41"/>
      <c r="E178" s="41"/>
      <c r="F178" s="42"/>
      <c r="G178" s="51"/>
    </row>
    <row r="179" spans="1:7" ht="15" thickBot="1" x14ac:dyDescent="0.25">
      <c r="A179" s="19" t="s">
        <v>5</v>
      </c>
      <c r="B179" s="20" t="s">
        <v>6</v>
      </c>
      <c r="C179" s="21" t="s">
        <v>7</v>
      </c>
      <c r="D179" s="21" t="s">
        <v>8</v>
      </c>
      <c r="E179" s="22" t="s">
        <v>9</v>
      </c>
      <c r="F179" s="23" t="s">
        <v>10</v>
      </c>
      <c r="G179" s="51"/>
    </row>
    <row r="180" spans="1:7" ht="25.5" x14ac:dyDescent="0.2">
      <c r="A180" s="14" t="s">
        <v>11</v>
      </c>
      <c r="B180" s="3">
        <v>0.55805763460628899</v>
      </c>
      <c r="C180" s="4">
        <v>0.54</v>
      </c>
      <c r="D180" s="5" t="s">
        <v>12</v>
      </c>
      <c r="E180" s="6" t="s">
        <v>86</v>
      </c>
      <c r="F180" s="17" t="s">
        <v>14</v>
      </c>
      <c r="G180" s="51"/>
    </row>
    <row r="181" spans="1:7" x14ac:dyDescent="0.2">
      <c r="A181" s="15" t="s">
        <v>15</v>
      </c>
      <c r="B181" s="3">
        <v>0.17099858658891656</v>
      </c>
      <c r="C181" s="4">
        <v>0.17</v>
      </c>
      <c r="D181" s="7" t="s">
        <v>16</v>
      </c>
      <c r="E181" s="6" t="s">
        <v>17</v>
      </c>
      <c r="F181" s="17" t="s">
        <v>18</v>
      </c>
      <c r="G181" s="51"/>
    </row>
    <row r="182" spans="1:7" x14ac:dyDescent="0.2">
      <c r="A182" s="15" t="s">
        <v>19</v>
      </c>
      <c r="B182" s="3">
        <v>1.9302042707161841E-2</v>
      </c>
      <c r="C182" s="4">
        <v>0.02</v>
      </c>
      <c r="D182" s="7" t="s">
        <v>16</v>
      </c>
      <c r="E182" s="6" t="s">
        <v>87</v>
      </c>
      <c r="F182" s="17" t="s">
        <v>21</v>
      </c>
      <c r="G182" s="51"/>
    </row>
    <row r="183" spans="1:7" ht="38.25" x14ac:dyDescent="0.2">
      <c r="A183" s="15" t="s">
        <v>24</v>
      </c>
      <c r="B183" s="3">
        <v>0.18775320403080059</v>
      </c>
      <c r="C183" s="4">
        <v>0.2</v>
      </c>
      <c r="D183" s="7" t="s">
        <v>12</v>
      </c>
      <c r="E183" s="6" t="s">
        <v>25</v>
      </c>
      <c r="F183" s="17" t="s">
        <v>26</v>
      </c>
      <c r="G183" s="51"/>
    </row>
    <row r="184" spans="1:7" x14ac:dyDescent="0.2">
      <c r="A184" s="15" t="s">
        <v>27</v>
      </c>
      <c r="B184" s="3">
        <v>5.0592459481630207E-2</v>
      </c>
      <c r="C184" s="4">
        <v>0.06</v>
      </c>
      <c r="D184" s="7" t="s">
        <v>12</v>
      </c>
      <c r="E184" s="6" t="s">
        <v>64</v>
      </c>
      <c r="F184" s="17" t="s">
        <v>29</v>
      </c>
      <c r="G184" s="51"/>
    </row>
    <row r="185" spans="1:7" x14ac:dyDescent="0.2">
      <c r="A185" s="15" t="s">
        <v>33</v>
      </c>
      <c r="B185" s="3">
        <v>3.3141883907641841E-2</v>
      </c>
      <c r="C185" s="4">
        <v>0.04</v>
      </c>
      <c r="D185" s="7" t="s">
        <v>16</v>
      </c>
      <c r="E185" s="6" t="s">
        <v>31</v>
      </c>
      <c r="F185" s="17" t="s">
        <v>34</v>
      </c>
      <c r="G185" s="51"/>
    </row>
    <row r="186" spans="1:7" x14ac:dyDescent="0.2">
      <c r="A186" s="15" t="s">
        <v>35</v>
      </c>
      <c r="B186" s="3">
        <v>3.1427873741683418E-2</v>
      </c>
      <c r="C186" s="4">
        <v>0.04</v>
      </c>
      <c r="D186" s="7" t="s">
        <v>16</v>
      </c>
      <c r="E186" s="6" t="s">
        <v>31</v>
      </c>
      <c r="F186" s="17" t="s">
        <v>36</v>
      </c>
      <c r="G186" s="51"/>
    </row>
    <row r="187" spans="1:7" x14ac:dyDescent="0.2">
      <c r="A187" s="15" t="s">
        <v>37</v>
      </c>
      <c r="B187" s="3">
        <v>2.1475897656433297E-2</v>
      </c>
      <c r="C187" s="4">
        <v>0.03</v>
      </c>
      <c r="D187" s="7" t="s">
        <v>16</v>
      </c>
      <c r="E187" s="6" t="s">
        <v>50</v>
      </c>
      <c r="F187" s="17" t="s">
        <v>38</v>
      </c>
      <c r="G187" s="51"/>
    </row>
    <row r="188" spans="1:7" x14ac:dyDescent="0.2">
      <c r="A188" s="15" t="s">
        <v>39</v>
      </c>
      <c r="B188" s="3">
        <v>2.1493441011776349E-3</v>
      </c>
      <c r="C188" s="4">
        <v>0</v>
      </c>
      <c r="D188" s="7" t="s">
        <v>16</v>
      </c>
      <c r="E188" s="6" t="s">
        <v>23</v>
      </c>
      <c r="F188" s="17">
        <v>0</v>
      </c>
      <c r="G188" s="51"/>
    </row>
    <row r="189" spans="1:7" x14ac:dyDescent="0.2">
      <c r="A189" s="15" t="s">
        <v>42</v>
      </c>
      <c r="B189" s="9">
        <f>SUBTOTAL(109,B180:B188)</f>
        <v>1.0748989268217344</v>
      </c>
      <c r="C189" s="10">
        <f>SUBTOTAL(109,C180:C188)</f>
        <v>1.1000000000000003</v>
      </c>
      <c r="D189" s="7"/>
      <c r="E189" s="11"/>
      <c r="F189" s="18"/>
      <c r="G189" s="51"/>
    </row>
    <row r="190" spans="1:7" ht="15" thickBot="1" x14ac:dyDescent="0.25">
      <c r="A190" s="16" t="s">
        <v>43</v>
      </c>
      <c r="B190" s="12">
        <v>0.19931930082962443</v>
      </c>
      <c r="C190" s="4">
        <v>0.21</v>
      </c>
      <c r="D190" s="13" t="s">
        <v>12</v>
      </c>
      <c r="E190" s="6" t="s">
        <v>60</v>
      </c>
      <c r="F190" s="17" t="s">
        <v>45</v>
      </c>
      <c r="G190" s="51"/>
    </row>
    <row r="191" spans="1:7" ht="26.25" thickBot="1" x14ac:dyDescent="0.25">
      <c r="A191" s="24" t="s">
        <v>46</v>
      </c>
      <c r="B191" s="25"/>
      <c r="C191" s="26">
        <v>2.3999999999999998E-3</v>
      </c>
      <c r="D191" s="25"/>
      <c r="E191" s="25"/>
      <c r="F191" s="27"/>
      <c r="G191" s="51"/>
    </row>
    <row r="192" spans="1:7" ht="15" thickBot="1" x14ac:dyDescent="0.25">
      <c r="A192" s="43" t="s">
        <v>332</v>
      </c>
      <c r="B192" s="43"/>
      <c r="C192" s="43"/>
      <c r="D192" s="43"/>
      <c r="E192" s="43"/>
      <c r="F192" s="43"/>
      <c r="G192" s="51"/>
    </row>
    <row r="193" spans="1:7" x14ac:dyDescent="0.2">
      <c r="A193" s="1" t="s">
        <v>1</v>
      </c>
      <c r="B193" s="44" t="s">
        <v>92</v>
      </c>
      <c r="C193" s="45"/>
      <c r="D193" s="45"/>
      <c r="E193" s="45"/>
      <c r="F193" s="46"/>
      <c r="G193" s="51"/>
    </row>
    <row r="194" spans="1:7" ht="15" thickBot="1" x14ac:dyDescent="0.25">
      <c r="A194" s="2" t="s">
        <v>3</v>
      </c>
      <c r="B194" s="40" t="s">
        <v>93</v>
      </c>
      <c r="C194" s="41"/>
      <c r="D194" s="41"/>
      <c r="E194" s="41"/>
      <c r="F194" s="42"/>
      <c r="G194" s="51"/>
    </row>
    <row r="195" spans="1:7" ht="15" thickBot="1" x14ac:dyDescent="0.25">
      <c r="A195" s="19" t="s">
        <v>5</v>
      </c>
      <c r="B195" s="20" t="s">
        <v>6</v>
      </c>
      <c r="C195" s="21" t="s">
        <v>7</v>
      </c>
      <c r="D195" s="21" t="s">
        <v>8</v>
      </c>
      <c r="E195" s="22" t="s">
        <v>9</v>
      </c>
      <c r="F195" s="23" t="s">
        <v>10</v>
      </c>
      <c r="G195" s="51"/>
    </row>
    <row r="196" spans="1:7" ht="25.5" x14ac:dyDescent="0.2">
      <c r="A196" s="14" t="s">
        <v>11</v>
      </c>
      <c r="B196" s="3">
        <v>0.55769266144135832</v>
      </c>
      <c r="C196" s="4">
        <v>0.54</v>
      </c>
      <c r="D196" s="5" t="s">
        <v>12</v>
      </c>
      <c r="E196" s="6" t="s">
        <v>86</v>
      </c>
      <c r="F196" s="17" t="s">
        <v>14</v>
      </c>
      <c r="G196" s="51"/>
    </row>
    <row r="197" spans="1:7" x14ac:dyDescent="0.2">
      <c r="A197" s="15" t="s">
        <v>15</v>
      </c>
      <c r="B197" s="3">
        <v>0.16750696167546378</v>
      </c>
      <c r="C197" s="4">
        <v>0.18</v>
      </c>
      <c r="D197" s="7" t="s">
        <v>16</v>
      </c>
      <c r="E197" s="6" t="s">
        <v>49</v>
      </c>
      <c r="F197" s="17" t="s">
        <v>18</v>
      </c>
      <c r="G197" s="51"/>
    </row>
    <row r="198" spans="1:7" x14ac:dyDescent="0.2">
      <c r="A198" s="15" t="s">
        <v>19</v>
      </c>
      <c r="B198" s="3">
        <v>1.9449635696939235E-2</v>
      </c>
      <c r="C198" s="4">
        <v>0.02</v>
      </c>
      <c r="D198" s="7" t="s">
        <v>16</v>
      </c>
      <c r="E198" s="6" t="s">
        <v>87</v>
      </c>
      <c r="F198" s="17" t="s">
        <v>21</v>
      </c>
      <c r="G198" s="51"/>
    </row>
    <row r="199" spans="1:7" ht="38.25" x14ac:dyDescent="0.2">
      <c r="A199" s="15" t="s">
        <v>24</v>
      </c>
      <c r="B199" s="3">
        <v>0.18353133249579462</v>
      </c>
      <c r="C199" s="4">
        <v>0.19</v>
      </c>
      <c r="D199" s="7" t="s">
        <v>12</v>
      </c>
      <c r="E199" s="6" t="s">
        <v>44</v>
      </c>
      <c r="F199" s="17" t="s">
        <v>26</v>
      </c>
      <c r="G199" s="51"/>
    </row>
    <row r="200" spans="1:7" x14ac:dyDescent="0.2">
      <c r="A200" s="15" t="s">
        <v>27</v>
      </c>
      <c r="B200" s="3">
        <v>5.883089941160264E-2</v>
      </c>
      <c r="C200" s="4">
        <v>0.08</v>
      </c>
      <c r="D200" s="7" t="s">
        <v>12</v>
      </c>
      <c r="E200" s="6" t="s">
        <v>61</v>
      </c>
      <c r="F200" s="17" t="s">
        <v>29</v>
      </c>
      <c r="G200" s="51"/>
    </row>
    <row r="201" spans="1:7" x14ac:dyDescent="0.2">
      <c r="A201" s="15" t="s">
        <v>30</v>
      </c>
      <c r="B201" s="3">
        <v>3.7194065784763256E-3</v>
      </c>
      <c r="C201" s="4">
        <v>0.01</v>
      </c>
      <c r="D201" s="7" t="s">
        <v>16</v>
      </c>
      <c r="E201" s="6" t="s">
        <v>56</v>
      </c>
      <c r="F201" s="17">
        <v>0</v>
      </c>
      <c r="G201" s="51"/>
    </row>
    <row r="202" spans="1:7" x14ac:dyDescent="0.2">
      <c r="A202" s="15" t="s">
        <v>33</v>
      </c>
      <c r="B202" s="3">
        <v>5.9773469953511037E-2</v>
      </c>
      <c r="C202" s="4">
        <v>0.04</v>
      </c>
      <c r="D202" s="7" t="s">
        <v>16</v>
      </c>
      <c r="E202" s="6" t="s">
        <v>31</v>
      </c>
      <c r="F202" s="17" t="s">
        <v>34</v>
      </c>
      <c r="G202" s="51"/>
    </row>
    <row r="203" spans="1:7" x14ac:dyDescent="0.2">
      <c r="A203" s="15" t="s">
        <v>35</v>
      </c>
      <c r="B203" s="3">
        <v>3.2431480610606626E-2</v>
      </c>
      <c r="C203" s="4">
        <v>0.04</v>
      </c>
      <c r="D203" s="7" t="s">
        <v>16</v>
      </c>
      <c r="E203" s="6" t="s">
        <v>31</v>
      </c>
      <c r="F203" s="17" t="s">
        <v>36</v>
      </c>
      <c r="G203" s="51"/>
    </row>
    <row r="204" spans="1:7" x14ac:dyDescent="0.2">
      <c r="A204" s="15" t="s">
        <v>37</v>
      </c>
      <c r="B204" s="3">
        <v>1.0480861682577512E-3</v>
      </c>
      <c r="C204" s="4">
        <v>0.01</v>
      </c>
      <c r="D204" s="7" t="s">
        <v>16</v>
      </c>
      <c r="E204" s="6" t="s">
        <v>56</v>
      </c>
      <c r="F204" s="17" t="s">
        <v>38</v>
      </c>
      <c r="G204" s="51"/>
    </row>
    <row r="205" spans="1:7" x14ac:dyDescent="0.2">
      <c r="A205" s="15" t="s">
        <v>39</v>
      </c>
      <c r="B205" s="3">
        <v>2.1483042623091364E-3</v>
      </c>
      <c r="C205" s="4">
        <v>0</v>
      </c>
      <c r="D205" s="7" t="s">
        <v>16</v>
      </c>
      <c r="E205" s="6" t="s">
        <v>23</v>
      </c>
      <c r="F205" s="17">
        <v>0</v>
      </c>
      <c r="G205" s="51"/>
    </row>
    <row r="206" spans="1:7" x14ac:dyDescent="0.2">
      <c r="A206" s="15" t="s">
        <v>42</v>
      </c>
      <c r="B206" s="9">
        <f>SUBTOTAL(109,B196:B205)</f>
        <v>1.0861322382943195</v>
      </c>
      <c r="C206" s="10">
        <f>SUBTOTAL(109,C196:C205)</f>
        <v>1.1100000000000001</v>
      </c>
      <c r="D206" s="7"/>
      <c r="E206" s="11"/>
      <c r="F206" s="18"/>
      <c r="G206" s="51"/>
    </row>
    <row r="207" spans="1:7" ht="15" thickBot="1" x14ac:dyDescent="0.25">
      <c r="A207" s="16" t="s">
        <v>43</v>
      </c>
      <c r="B207" s="12">
        <v>0.19376901002815486</v>
      </c>
      <c r="C207" s="4">
        <v>0.21</v>
      </c>
      <c r="D207" s="13" t="s">
        <v>12</v>
      </c>
      <c r="E207" s="6" t="s">
        <v>60</v>
      </c>
      <c r="F207" s="17" t="s">
        <v>45</v>
      </c>
      <c r="G207" s="51"/>
    </row>
    <row r="208" spans="1:7" ht="26.25" thickBot="1" x14ac:dyDescent="0.25">
      <c r="A208" s="24" t="s">
        <v>46</v>
      </c>
      <c r="B208" s="25"/>
      <c r="C208" s="26">
        <v>2.3999999999999998E-3</v>
      </c>
      <c r="D208" s="25"/>
      <c r="E208" s="25"/>
      <c r="F208" s="27"/>
      <c r="G208" s="51"/>
    </row>
    <row r="209" spans="1:7" ht="15" thickBot="1" x14ac:dyDescent="0.25">
      <c r="A209" s="43" t="s">
        <v>332</v>
      </c>
      <c r="B209" s="43"/>
      <c r="C209" s="43"/>
      <c r="D209" s="43"/>
      <c r="E209" s="43"/>
      <c r="F209" s="43"/>
      <c r="G209" s="51"/>
    </row>
    <row r="210" spans="1:7" x14ac:dyDescent="0.2">
      <c r="A210" s="1" t="s">
        <v>1</v>
      </c>
      <c r="B210" s="44" t="s">
        <v>94</v>
      </c>
      <c r="C210" s="45"/>
      <c r="D210" s="45"/>
      <c r="E210" s="45"/>
      <c r="F210" s="46"/>
      <c r="G210" s="51"/>
    </row>
    <row r="211" spans="1:7" ht="15" thickBot="1" x14ac:dyDescent="0.25">
      <c r="A211" s="2" t="s">
        <v>3</v>
      </c>
      <c r="B211" s="40" t="s">
        <v>95</v>
      </c>
      <c r="C211" s="41"/>
      <c r="D211" s="41"/>
      <c r="E211" s="41"/>
      <c r="F211" s="42"/>
      <c r="G211" s="51"/>
    </row>
    <row r="212" spans="1:7" ht="15" thickBot="1" x14ac:dyDescent="0.25">
      <c r="A212" s="19" t="s">
        <v>5</v>
      </c>
      <c r="B212" s="20" t="s">
        <v>6</v>
      </c>
      <c r="C212" s="21" t="s">
        <v>7</v>
      </c>
      <c r="D212" s="21" t="s">
        <v>8</v>
      </c>
      <c r="E212" s="22" t="s">
        <v>9</v>
      </c>
      <c r="F212" s="23" t="s">
        <v>10</v>
      </c>
      <c r="G212" s="51"/>
    </row>
    <row r="213" spans="1:7" ht="25.5" x14ac:dyDescent="0.2">
      <c r="A213" s="14" t="s">
        <v>11</v>
      </c>
      <c r="B213" s="3">
        <v>0.26979379009478305</v>
      </c>
      <c r="C213" s="4">
        <v>0.25</v>
      </c>
      <c r="D213" s="5" t="s">
        <v>12</v>
      </c>
      <c r="E213" s="6" t="s">
        <v>96</v>
      </c>
      <c r="F213" s="17" t="s">
        <v>14</v>
      </c>
      <c r="G213" s="51"/>
    </row>
    <row r="214" spans="1:7" x14ac:dyDescent="0.2">
      <c r="A214" s="15" t="s">
        <v>15</v>
      </c>
      <c r="B214" s="3">
        <v>0.2868901814798529</v>
      </c>
      <c r="C214" s="4">
        <v>0.3</v>
      </c>
      <c r="D214" s="7" t="s">
        <v>16</v>
      </c>
      <c r="E214" s="6" t="s">
        <v>97</v>
      </c>
      <c r="F214" s="17" t="s">
        <v>18</v>
      </c>
      <c r="G214" s="51"/>
    </row>
    <row r="215" spans="1:7" x14ac:dyDescent="0.2">
      <c r="A215" s="15" t="s">
        <v>19</v>
      </c>
      <c r="B215" s="3">
        <v>2.1619861531121977E-2</v>
      </c>
      <c r="C215" s="4">
        <v>0.03</v>
      </c>
      <c r="D215" s="7" t="s">
        <v>16</v>
      </c>
      <c r="E215" s="6" t="s">
        <v>50</v>
      </c>
      <c r="F215" s="17" t="s">
        <v>21</v>
      </c>
      <c r="G215" s="51"/>
    </row>
    <row r="216" spans="1:7" ht="38.25" x14ac:dyDescent="0.2">
      <c r="A216" s="15" t="s">
        <v>24</v>
      </c>
      <c r="B216" s="3">
        <v>0.24975794020323722</v>
      </c>
      <c r="C216" s="4">
        <v>0.24</v>
      </c>
      <c r="D216" s="7" t="s">
        <v>12</v>
      </c>
      <c r="E216" s="6" t="s">
        <v>98</v>
      </c>
      <c r="F216" s="17" t="s">
        <v>26</v>
      </c>
      <c r="G216" s="51"/>
    </row>
    <row r="217" spans="1:7" x14ac:dyDescent="0.2">
      <c r="A217" s="15" t="s">
        <v>27</v>
      </c>
      <c r="B217" s="3">
        <v>7.8822820113347083E-2</v>
      </c>
      <c r="C217" s="4">
        <v>0.09</v>
      </c>
      <c r="D217" s="7" t="s">
        <v>12</v>
      </c>
      <c r="E217" s="6" t="s">
        <v>55</v>
      </c>
      <c r="F217" s="17" t="s">
        <v>29</v>
      </c>
      <c r="G217" s="51"/>
    </row>
    <row r="218" spans="1:7" x14ac:dyDescent="0.2">
      <c r="A218" s="15" t="s">
        <v>30</v>
      </c>
      <c r="B218" s="3">
        <v>2.0974738925002626E-2</v>
      </c>
      <c r="C218" s="4">
        <v>0.03</v>
      </c>
      <c r="D218" s="7" t="s">
        <v>16</v>
      </c>
      <c r="E218" s="6" t="s">
        <v>50</v>
      </c>
      <c r="F218" s="17" t="s">
        <v>32</v>
      </c>
      <c r="G218" s="51"/>
    </row>
    <row r="219" spans="1:7" x14ac:dyDescent="0.2">
      <c r="A219" s="15" t="s">
        <v>33</v>
      </c>
      <c r="B219" s="3">
        <v>2.7579969669918849E-2</v>
      </c>
      <c r="C219" s="4">
        <v>0.04</v>
      </c>
      <c r="D219" s="7" t="s">
        <v>16</v>
      </c>
      <c r="E219" s="6" t="s">
        <v>31</v>
      </c>
      <c r="F219" s="17" t="s">
        <v>34</v>
      </c>
      <c r="G219" s="51"/>
    </row>
    <row r="220" spans="1:7" x14ac:dyDescent="0.2">
      <c r="A220" s="15" t="s">
        <v>35</v>
      </c>
      <c r="B220" s="3">
        <v>3.4987216832518347E-2</v>
      </c>
      <c r="C220" s="4">
        <v>0.04</v>
      </c>
      <c r="D220" s="7" t="s">
        <v>16</v>
      </c>
      <c r="E220" s="6" t="s">
        <v>31</v>
      </c>
      <c r="F220" s="17" t="s">
        <v>36</v>
      </c>
      <c r="G220" s="51"/>
    </row>
    <row r="221" spans="1:7" x14ac:dyDescent="0.2">
      <c r="A221" s="15" t="s">
        <v>37</v>
      </c>
      <c r="B221" s="3">
        <v>3.1690989054934886E-2</v>
      </c>
      <c r="C221" s="4">
        <v>0.03</v>
      </c>
      <c r="D221" s="7" t="s">
        <v>16</v>
      </c>
      <c r="E221" s="6" t="s">
        <v>50</v>
      </c>
      <c r="F221" s="17" t="s">
        <v>38</v>
      </c>
      <c r="G221" s="51"/>
    </row>
    <row r="222" spans="1:7" x14ac:dyDescent="0.2">
      <c r="A222" s="15" t="s">
        <v>39</v>
      </c>
      <c r="B222" s="3">
        <v>1.0463730792826234E-3</v>
      </c>
      <c r="C222" s="4">
        <v>0</v>
      </c>
      <c r="D222" s="7" t="s">
        <v>16</v>
      </c>
      <c r="E222" s="6" t="s">
        <v>23</v>
      </c>
      <c r="F222" s="17">
        <v>0</v>
      </c>
      <c r="G222" s="51"/>
    </row>
    <row r="223" spans="1:7" x14ac:dyDescent="0.2">
      <c r="A223" s="15" t="s">
        <v>42</v>
      </c>
      <c r="B223" s="9">
        <f>SUBTOTAL(109,B213:B222)</f>
        <v>1.0231638809839996</v>
      </c>
      <c r="C223" s="10">
        <f>SUBTOTAL(109,C213:C222)</f>
        <v>1.05</v>
      </c>
      <c r="D223" s="7"/>
      <c r="E223" s="11"/>
      <c r="F223" s="18"/>
      <c r="G223" s="51"/>
    </row>
    <row r="224" spans="1:7" ht="15" thickBot="1" x14ac:dyDescent="0.25">
      <c r="A224" s="16" t="s">
        <v>43</v>
      </c>
      <c r="B224" s="12">
        <v>0.12688898561876949</v>
      </c>
      <c r="C224" s="4">
        <v>0.14000000000000001</v>
      </c>
      <c r="D224" s="13" t="s">
        <v>12</v>
      </c>
      <c r="E224" s="6" t="s">
        <v>80</v>
      </c>
      <c r="F224" s="17" t="s">
        <v>45</v>
      </c>
      <c r="G224" s="51"/>
    </row>
    <row r="225" spans="1:7" ht="26.25" thickBot="1" x14ac:dyDescent="0.25">
      <c r="A225" s="24" t="s">
        <v>46</v>
      </c>
      <c r="B225" s="25"/>
      <c r="C225" s="26">
        <v>2.3999999999999998E-3</v>
      </c>
      <c r="D225" s="25"/>
      <c r="E225" s="25"/>
      <c r="F225" s="27"/>
      <c r="G225" s="51"/>
    </row>
    <row r="226" spans="1:7" ht="15" thickBot="1" x14ac:dyDescent="0.25">
      <c r="A226" s="43" t="s">
        <v>332</v>
      </c>
      <c r="B226" s="43"/>
      <c r="C226" s="43"/>
      <c r="D226" s="43"/>
      <c r="E226" s="43"/>
      <c r="F226" s="43"/>
      <c r="G226" s="51"/>
    </row>
    <row r="227" spans="1:7" x14ac:dyDescent="0.2">
      <c r="A227" s="1" t="s">
        <v>1</v>
      </c>
      <c r="B227" s="44" t="s">
        <v>99</v>
      </c>
      <c r="C227" s="45"/>
      <c r="D227" s="45"/>
      <c r="E227" s="45"/>
      <c r="F227" s="46"/>
      <c r="G227" s="51"/>
    </row>
    <row r="228" spans="1:7" ht="15" thickBot="1" x14ac:dyDescent="0.25">
      <c r="A228" s="2" t="s">
        <v>3</v>
      </c>
      <c r="B228" s="40" t="s">
        <v>100</v>
      </c>
      <c r="C228" s="41"/>
      <c r="D228" s="41"/>
      <c r="E228" s="41"/>
      <c r="F228" s="42"/>
      <c r="G228" s="51"/>
    </row>
    <row r="229" spans="1:7" ht="15" thickBot="1" x14ac:dyDescent="0.25">
      <c r="A229" s="19" t="s">
        <v>5</v>
      </c>
      <c r="B229" s="20" t="s">
        <v>6</v>
      </c>
      <c r="C229" s="21" t="s">
        <v>7</v>
      </c>
      <c r="D229" s="21" t="s">
        <v>8</v>
      </c>
      <c r="E229" s="22" t="s">
        <v>9</v>
      </c>
      <c r="F229" s="23" t="s">
        <v>10</v>
      </c>
      <c r="G229" s="51"/>
    </row>
    <row r="230" spans="1:7" ht="25.5" x14ac:dyDescent="0.2">
      <c r="A230" s="14" t="s">
        <v>11</v>
      </c>
      <c r="B230" s="3">
        <v>0.27063026971471327</v>
      </c>
      <c r="C230" s="4">
        <v>0.25</v>
      </c>
      <c r="D230" s="5" t="s">
        <v>12</v>
      </c>
      <c r="E230" s="6" t="s">
        <v>96</v>
      </c>
      <c r="F230" s="17" t="s">
        <v>14</v>
      </c>
      <c r="G230" s="51"/>
    </row>
    <row r="231" spans="1:7" x14ac:dyDescent="0.2">
      <c r="A231" s="15" t="s">
        <v>15</v>
      </c>
      <c r="B231" s="3">
        <v>0.11433949195960325</v>
      </c>
      <c r="C231" s="4">
        <v>0.1</v>
      </c>
      <c r="D231" s="7" t="s">
        <v>16</v>
      </c>
      <c r="E231" s="6" t="s">
        <v>101</v>
      </c>
      <c r="F231" s="17" t="s">
        <v>18</v>
      </c>
      <c r="G231" s="51"/>
    </row>
    <row r="232" spans="1:7" x14ac:dyDescent="0.2">
      <c r="A232" s="15" t="s">
        <v>19</v>
      </c>
      <c r="B232" s="3">
        <v>1.9167043690463532E-2</v>
      </c>
      <c r="C232" s="4">
        <v>0.03</v>
      </c>
      <c r="D232" s="7" t="s">
        <v>16</v>
      </c>
      <c r="E232" s="6" t="s">
        <v>20</v>
      </c>
      <c r="F232" s="17" t="s">
        <v>21</v>
      </c>
      <c r="G232" s="51"/>
    </row>
    <row r="233" spans="1:7" x14ac:dyDescent="0.2">
      <c r="A233" s="15" t="s">
        <v>22</v>
      </c>
      <c r="B233" s="3">
        <v>0.27055582288442043</v>
      </c>
      <c r="C233" s="4">
        <v>0.28000000000000003</v>
      </c>
      <c r="D233" s="7" t="s">
        <v>16</v>
      </c>
      <c r="E233" s="6" t="s">
        <v>78</v>
      </c>
      <c r="F233" s="17" t="s">
        <v>79</v>
      </c>
      <c r="G233" s="51"/>
    </row>
    <row r="234" spans="1:7" ht="38.25" x14ac:dyDescent="0.2">
      <c r="A234" s="15" t="s">
        <v>24</v>
      </c>
      <c r="B234" s="3">
        <v>0.21576204169430277</v>
      </c>
      <c r="C234" s="4">
        <v>0.22</v>
      </c>
      <c r="D234" s="7" t="s">
        <v>12</v>
      </c>
      <c r="E234" s="6" t="s">
        <v>83</v>
      </c>
      <c r="F234" s="17" t="s">
        <v>26</v>
      </c>
      <c r="G234" s="51"/>
    </row>
    <row r="235" spans="1:7" x14ac:dyDescent="0.2">
      <c r="A235" s="15" t="s">
        <v>27</v>
      </c>
      <c r="B235" s="3">
        <v>5.4062005948988391E-2</v>
      </c>
      <c r="C235" s="4">
        <v>0.06</v>
      </c>
      <c r="D235" s="7" t="s">
        <v>12</v>
      </c>
      <c r="E235" s="6" t="s">
        <v>64</v>
      </c>
      <c r="F235" s="17" t="s">
        <v>29</v>
      </c>
      <c r="G235" s="51"/>
    </row>
    <row r="236" spans="1:7" x14ac:dyDescent="0.2">
      <c r="A236" s="15" t="s">
        <v>33</v>
      </c>
      <c r="B236" s="3">
        <v>2.4339846695578444E-2</v>
      </c>
      <c r="C236" s="4">
        <v>0.03</v>
      </c>
      <c r="D236" s="7" t="s">
        <v>16</v>
      </c>
      <c r="E236" s="6" t="s">
        <v>50</v>
      </c>
      <c r="F236" s="17" t="s">
        <v>34</v>
      </c>
      <c r="G236" s="51"/>
    </row>
    <row r="237" spans="1:7" x14ac:dyDescent="0.2">
      <c r="A237" s="15" t="s">
        <v>35</v>
      </c>
      <c r="B237" s="3">
        <v>3.273834523136588E-2</v>
      </c>
      <c r="C237" s="4">
        <v>0.04</v>
      </c>
      <c r="D237" s="7" t="s">
        <v>16</v>
      </c>
      <c r="E237" s="6" t="s">
        <v>31</v>
      </c>
      <c r="F237" s="17" t="s">
        <v>36</v>
      </c>
      <c r="G237" s="51"/>
    </row>
    <row r="238" spans="1:7" x14ac:dyDescent="0.2">
      <c r="A238" s="15" t="s">
        <v>37</v>
      </c>
      <c r="B238" s="3">
        <v>2.2079909915844697E-2</v>
      </c>
      <c r="C238" s="4">
        <v>0.03</v>
      </c>
      <c r="D238" s="7" t="s">
        <v>16</v>
      </c>
      <c r="E238" s="6" t="s">
        <v>50</v>
      </c>
      <c r="F238" s="17" t="s">
        <v>38</v>
      </c>
      <c r="G238" s="51"/>
    </row>
    <row r="239" spans="1:7" x14ac:dyDescent="0.2">
      <c r="A239" s="15" t="s">
        <v>39</v>
      </c>
      <c r="B239" s="3">
        <v>1.0498248311956772E-3</v>
      </c>
      <c r="C239" s="4">
        <v>0</v>
      </c>
      <c r="D239" s="7" t="s">
        <v>16</v>
      </c>
      <c r="E239" s="6" t="s">
        <v>23</v>
      </c>
      <c r="F239" s="17">
        <v>0</v>
      </c>
      <c r="G239" s="51"/>
    </row>
    <row r="240" spans="1:7" x14ac:dyDescent="0.2">
      <c r="A240" s="15" t="s">
        <v>42</v>
      </c>
      <c r="B240" s="9">
        <f>SUBTOTAL(109,B230:B239)</f>
        <v>1.0247246025664762</v>
      </c>
      <c r="C240" s="10">
        <f>SUBTOTAL(109,C230:C239)</f>
        <v>1.04</v>
      </c>
      <c r="D240" s="7"/>
      <c r="E240" s="11"/>
      <c r="F240" s="18"/>
      <c r="G240" s="51"/>
    </row>
    <row r="241" spans="1:7" ht="15" thickBot="1" x14ac:dyDescent="0.25">
      <c r="A241" s="16" t="s">
        <v>43</v>
      </c>
      <c r="B241" s="12">
        <v>0.1289700006973091</v>
      </c>
      <c r="C241" s="4">
        <v>0.14000000000000001</v>
      </c>
      <c r="D241" s="13" t="s">
        <v>12</v>
      </c>
      <c r="E241" s="6" t="s">
        <v>80</v>
      </c>
      <c r="F241" s="17" t="s">
        <v>45</v>
      </c>
      <c r="G241" s="51"/>
    </row>
    <row r="242" spans="1:7" ht="26.25" thickBot="1" x14ac:dyDescent="0.25">
      <c r="A242" s="24" t="s">
        <v>46</v>
      </c>
      <c r="B242" s="25"/>
      <c r="C242" s="26">
        <v>2.3999999999999998E-3</v>
      </c>
      <c r="D242" s="25"/>
      <c r="E242" s="25"/>
      <c r="F242" s="27"/>
      <c r="G242" s="51"/>
    </row>
    <row r="243" spans="1:7" ht="15" thickBot="1" x14ac:dyDescent="0.25">
      <c r="A243" s="43" t="s">
        <v>332</v>
      </c>
      <c r="B243" s="43"/>
      <c r="C243" s="43"/>
      <c r="D243" s="43"/>
      <c r="E243" s="43"/>
      <c r="F243" s="43"/>
      <c r="G243" s="51"/>
    </row>
    <row r="244" spans="1:7" x14ac:dyDescent="0.2">
      <c r="A244" s="1" t="s">
        <v>1</v>
      </c>
      <c r="B244" s="44" t="s">
        <v>102</v>
      </c>
      <c r="C244" s="45"/>
      <c r="D244" s="45"/>
      <c r="E244" s="45"/>
      <c r="F244" s="46"/>
      <c r="G244" s="51"/>
    </row>
    <row r="245" spans="1:7" ht="15" thickBot="1" x14ac:dyDescent="0.25">
      <c r="A245" s="2" t="s">
        <v>3</v>
      </c>
      <c r="B245" s="40" t="s">
        <v>103</v>
      </c>
      <c r="C245" s="41"/>
      <c r="D245" s="41"/>
      <c r="E245" s="41"/>
      <c r="F245" s="42"/>
      <c r="G245" s="51"/>
    </row>
    <row r="246" spans="1:7" ht="15" thickBot="1" x14ac:dyDescent="0.25">
      <c r="A246" s="19" t="s">
        <v>5</v>
      </c>
      <c r="B246" s="20" t="s">
        <v>6</v>
      </c>
      <c r="C246" s="21" t="s">
        <v>7</v>
      </c>
      <c r="D246" s="21" t="s">
        <v>8</v>
      </c>
      <c r="E246" s="22" t="s">
        <v>9</v>
      </c>
      <c r="F246" s="23" t="s">
        <v>10</v>
      </c>
      <c r="G246" s="51"/>
    </row>
    <row r="247" spans="1:7" ht="25.5" x14ac:dyDescent="0.2">
      <c r="A247" s="14" t="s">
        <v>11</v>
      </c>
      <c r="B247" s="3">
        <v>0.271681209607739</v>
      </c>
      <c r="C247" s="4">
        <v>0.25</v>
      </c>
      <c r="D247" s="5" t="s">
        <v>12</v>
      </c>
      <c r="E247" s="6" t="s">
        <v>96</v>
      </c>
      <c r="F247" s="17" t="s">
        <v>14</v>
      </c>
      <c r="G247" s="51"/>
    </row>
    <row r="248" spans="1:7" x14ac:dyDescent="0.2">
      <c r="A248" s="15" t="s">
        <v>15</v>
      </c>
      <c r="B248" s="3">
        <v>0.31312249344297377</v>
      </c>
      <c r="C248" s="4">
        <v>0.32</v>
      </c>
      <c r="D248" s="7" t="s">
        <v>16</v>
      </c>
      <c r="E248" s="6" t="s">
        <v>104</v>
      </c>
      <c r="F248" s="17" t="s">
        <v>18</v>
      </c>
      <c r="G248" s="51"/>
    </row>
    <row r="249" spans="1:7" x14ac:dyDescent="0.2">
      <c r="A249" s="15" t="s">
        <v>19</v>
      </c>
      <c r="B249" s="3">
        <v>2.2590852608246177E-2</v>
      </c>
      <c r="C249" s="4">
        <v>0.03</v>
      </c>
      <c r="D249" s="7" t="s">
        <v>16</v>
      </c>
      <c r="E249" s="6" t="s">
        <v>20</v>
      </c>
      <c r="F249" s="17" t="s">
        <v>21</v>
      </c>
      <c r="G249" s="51"/>
    </row>
    <row r="250" spans="1:7" ht="38.25" x14ac:dyDescent="0.2">
      <c r="A250" s="15" t="s">
        <v>24</v>
      </c>
      <c r="B250" s="3">
        <v>0.29591252610503854</v>
      </c>
      <c r="C250" s="4">
        <v>0.28000000000000003</v>
      </c>
      <c r="D250" s="7" t="s">
        <v>12</v>
      </c>
      <c r="E250" s="6" t="s">
        <v>105</v>
      </c>
      <c r="F250" s="17" t="s">
        <v>26</v>
      </c>
      <c r="G250" s="51"/>
    </row>
    <row r="251" spans="1:7" x14ac:dyDescent="0.2">
      <c r="A251" s="15" t="s">
        <v>27</v>
      </c>
      <c r="B251" s="3">
        <v>7.2742174974600324E-2</v>
      </c>
      <c r="C251" s="4">
        <v>0.09</v>
      </c>
      <c r="D251" s="7" t="s">
        <v>12</v>
      </c>
      <c r="E251" s="6" t="s">
        <v>55</v>
      </c>
      <c r="F251" s="17" t="s">
        <v>29</v>
      </c>
      <c r="G251" s="51"/>
    </row>
    <row r="252" spans="1:7" x14ac:dyDescent="0.2">
      <c r="A252" s="15" t="s">
        <v>33</v>
      </c>
      <c r="B252" s="3">
        <v>2.3668272261992994E-2</v>
      </c>
      <c r="C252" s="4">
        <v>0.03</v>
      </c>
      <c r="D252" s="7" t="s">
        <v>16</v>
      </c>
      <c r="E252" s="6" t="s">
        <v>50</v>
      </c>
      <c r="F252" s="17" t="s">
        <v>34</v>
      </c>
      <c r="G252" s="51"/>
    </row>
    <row r="253" spans="1:7" x14ac:dyDescent="0.2">
      <c r="A253" s="15" t="s">
        <v>35</v>
      </c>
      <c r="B253" s="3">
        <v>3.0860744306528441E-2</v>
      </c>
      <c r="C253" s="4">
        <v>0.04</v>
      </c>
      <c r="D253" s="7" t="s">
        <v>16</v>
      </c>
      <c r="E253" s="6" t="s">
        <v>31</v>
      </c>
      <c r="F253" s="17" t="s">
        <v>36</v>
      </c>
      <c r="G253" s="51"/>
    </row>
    <row r="254" spans="1:7" x14ac:dyDescent="0.2">
      <c r="A254" s="15" t="s">
        <v>39</v>
      </c>
      <c r="B254" s="3">
        <v>1.0557895037443233E-3</v>
      </c>
      <c r="C254" s="4">
        <v>0</v>
      </c>
      <c r="D254" s="7" t="s">
        <v>16</v>
      </c>
      <c r="E254" s="6" t="s">
        <v>23</v>
      </c>
      <c r="F254" s="17">
        <v>0</v>
      </c>
      <c r="G254" s="51"/>
    </row>
    <row r="255" spans="1:7" x14ac:dyDescent="0.2">
      <c r="A255" s="15" t="s">
        <v>42</v>
      </c>
      <c r="B255" s="9">
        <f>SUBTOTAL(109,B247:B254)</f>
        <v>1.0316340628108636</v>
      </c>
      <c r="C255" s="10">
        <f>SUBTOTAL(109,C247:C254)</f>
        <v>1.04</v>
      </c>
      <c r="D255" s="7"/>
      <c r="E255" s="11"/>
      <c r="F255" s="18"/>
      <c r="G255" s="51"/>
    </row>
    <row r="256" spans="1:7" ht="15" thickBot="1" x14ac:dyDescent="0.25">
      <c r="A256" s="16" t="s">
        <v>43</v>
      </c>
      <c r="B256" s="12">
        <v>0.12930377919556971</v>
      </c>
      <c r="C256" s="4">
        <v>0.14000000000000001</v>
      </c>
      <c r="D256" s="13" t="s">
        <v>12</v>
      </c>
      <c r="E256" s="6" t="s">
        <v>80</v>
      </c>
      <c r="F256" s="17" t="s">
        <v>45</v>
      </c>
      <c r="G256" s="51"/>
    </row>
    <row r="257" spans="1:7" ht="26.25" thickBot="1" x14ac:dyDescent="0.25">
      <c r="A257" s="24" t="s">
        <v>46</v>
      </c>
      <c r="B257" s="25"/>
      <c r="C257" s="26">
        <v>2.3999999999999998E-3</v>
      </c>
      <c r="D257" s="25"/>
      <c r="E257" s="25"/>
      <c r="F257" s="27"/>
      <c r="G257" s="51"/>
    </row>
    <row r="258" spans="1:7" ht="15" thickBot="1" x14ac:dyDescent="0.25">
      <c r="A258" s="43" t="s">
        <v>332</v>
      </c>
      <c r="B258" s="43"/>
      <c r="C258" s="43"/>
      <c r="D258" s="43"/>
      <c r="E258" s="43"/>
      <c r="F258" s="43"/>
      <c r="G258" s="51"/>
    </row>
    <row r="259" spans="1:7" x14ac:dyDescent="0.2">
      <c r="A259" s="1" t="s">
        <v>1</v>
      </c>
      <c r="B259" s="44" t="s">
        <v>106</v>
      </c>
      <c r="C259" s="45"/>
      <c r="D259" s="45"/>
      <c r="E259" s="45"/>
      <c r="F259" s="46"/>
      <c r="G259" s="51"/>
    </row>
    <row r="260" spans="1:7" ht="15" thickBot="1" x14ac:dyDescent="0.25">
      <c r="A260" s="2" t="s">
        <v>3</v>
      </c>
      <c r="B260" s="40" t="s">
        <v>107</v>
      </c>
      <c r="C260" s="41"/>
      <c r="D260" s="41"/>
      <c r="E260" s="41"/>
      <c r="F260" s="42"/>
      <c r="G260" s="51"/>
    </row>
    <row r="261" spans="1:7" ht="15" thickBot="1" x14ac:dyDescent="0.25">
      <c r="A261" s="19" t="s">
        <v>5</v>
      </c>
      <c r="B261" s="20" t="s">
        <v>6</v>
      </c>
      <c r="C261" s="21" t="s">
        <v>7</v>
      </c>
      <c r="D261" s="21" t="s">
        <v>8</v>
      </c>
      <c r="E261" s="22" t="s">
        <v>9</v>
      </c>
      <c r="F261" s="23" t="s">
        <v>10</v>
      </c>
      <c r="G261" s="51"/>
    </row>
    <row r="262" spans="1:7" ht="25.5" x14ac:dyDescent="0.2">
      <c r="A262" s="14" t="s">
        <v>11</v>
      </c>
      <c r="B262" s="3">
        <v>0.27091122376296561</v>
      </c>
      <c r="C262" s="4">
        <v>0.25</v>
      </c>
      <c r="D262" s="5" t="s">
        <v>12</v>
      </c>
      <c r="E262" s="6" t="s">
        <v>96</v>
      </c>
      <c r="F262" s="17" t="s">
        <v>14</v>
      </c>
      <c r="G262" s="51"/>
    </row>
    <row r="263" spans="1:7" x14ac:dyDescent="0.2">
      <c r="A263" s="15" t="s">
        <v>15</v>
      </c>
      <c r="B263" s="3">
        <v>0.28513422605135325</v>
      </c>
      <c r="C263" s="4">
        <v>0.3</v>
      </c>
      <c r="D263" s="7" t="s">
        <v>16</v>
      </c>
      <c r="E263" s="6" t="s">
        <v>97</v>
      </c>
      <c r="F263" s="17" t="s">
        <v>18</v>
      </c>
      <c r="G263" s="51"/>
    </row>
    <row r="264" spans="1:7" x14ac:dyDescent="0.2">
      <c r="A264" s="15" t="s">
        <v>19</v>
      </c>
      <c r="B264" s="3">
        <v>2.248812506634151E-2</v>
      </c>
      <c r="C264" s="4">
        <v>0.03</v>
      </c>
      <c r="D264" s="7" t="s">
        <v>16</v>
      </c>
      <c r="E264" s="6" t="s">
        <v>20</v>
      </c>
      <c r="F264" s="17" t="s">
        <v>21</v>
      </c>
      <c r="G264" s="51"/>
    </row>
    <row r="265" spans="1:7" ht="38.25" x14ac:dyDescent="0.2">
      <c r="A265" s="15" t="s">
        <v>24</v>
      </c>
      <c r="B265" s="3">
        <v>0.29875159406812696</v>
      </c>
      <c r="C265" s="4">
        <v>0.28000000000000003</v>
      </c>
      <c r="D265" s="7" t="s">
        <v>12</v>
      </c>
      <c r="E265" s="6" t="s">
        <v>105</v>
      </c>
      <c r="F265" s="17" t="s">
        <v>26</v>
      </c>
      <c r="G265" s="51"/>
    </row>
    <row r="266" spans="1:7" x14ac:dyDescent="0.2">
      <c r="A266" s="15" t="s">
        <v>27</v>
      </c>
      <c r="B266" s="3">
        <v>9.0843230890178206E-2</v>
      </c>
      <c r="C266" s="4">
        <v>0.12</v>
      </c>
      <c r="D266" s="7" t="s">
        <v>12</v>
      </c>
      <c r="E266" s="6" t="s">
        <v>108</v>
      </c>
      <c r="F266" s="17" t="s">
        <v>29</v>
      </c>
      <c r="G266" s="51"/>
    </row>
    <row r="267" spans="1:7" x14ac:dyDescent="0.2">
      <c r="A267" s="15" t="s">
        <v>33</v>
      </c>
      <c r="B267" s="3">
        <v>2.322235418957572E-2</v>
      </c>
      <c r="C267" s="4">
        <v>0.02</v>
      </c>
      <c r="D267" s="7" t="s">
        <v>16</v>
      </c>
      <c r="E267" s="6" t="s">
        <v>89</v>
      </c>
      <c r="F267" s="17" t="s">
        <v>34</v>
      </c>
      <c r="G267" s="51"/>
    </row>
    <row r="268" spans="1:7" x14ac:dyDescent="0.2">
      <c r="A268" s="15" t="s">
        <v>35</v>
      </c>
      <c r="B268" s="3">
        <v>3.5783107455001371E-2</v>
      </c>
      <c r="C268" s="4">
        <v>0.04</v>
      </c>
      <c r="D268" s="7" t="s">
        <v>16</v>
      </c>
      <c r="E268" s="6" t="s">
        <v>31</v>
      </c>
      <c r="F268" s="17" t="s">
        <v>36</v>
      </c>
      <c r="G268" s="51"/>
    </row>
    <row r="269" spans="1:7" x14ac:dyDescent="0.2">
      <c r="A269" s="15" t="s">
        <v>37</v>
      </c>
      <c r="B269" s="3">
        <v>1.6898954451015369E-3</v>
      </c>
      <c r="C269" s="4">
        <v>0</v>
      </c>
      <c r="D269" s="7" t="s">
        <v>16</v>
      </c>
      <c r="E269" s="6" t="s">
        <v>23</v>
      </c>
      <c r="F269" s="17">
        <v>0</v>
      </c>
      <c r="G269" s="51"/>
    </row>
    <row r="270" spans="1:7" x14ac:dyDescent="0.2">
      <c r="A270" s="15" t="s">
        <v>39</v>
      </c>
      <c r="B270" s="3">
        <v>1.0508860471553356E-3</v>
      </c>
      <c r="C270" s="4">
        <v>0</v>
      </c>
      <c r="D270" s="7" t="s">
        <v>16</v>
      </c>
      <c r="E270" s="6" t="s">
        <v>23</v>
      </c>
      <c r="F270" s="17">
        <v>0</v>
      </c>
      <c r="G270" s="51"/>
    </row>
    <row r="271" spans="1:7" x14ac:dyDescent="0.2">
      <c r="A271" s="15" t="s">
        <v>42</v>
      </c>
      <c r="B271" s="9">
        <f>SUBTOTAL(109,B262:B270)</f>
        <v>1.0298746429757994</v>
      </c>
      <c r="C271" s="10">
        <f>SUBTOTAL(109,C262:C270)</f>
        <v>1.04</v>
      </c>
      <c r="D271" s="7"/>
      <c r="E271" s="11"/>
      <c r="F271" s="18"/>
      <c r="G271" s="51"/>
    </row>
    <row r="272" spans="1:7" ht="15" thickBot="1" x14ac:dyDescent="0.25">
      <c r="A272" s="16" t="s">
        <v>43</v>
      </c>
      <c r="B272" s="12">
        <v>0.12435330678465513</v>
      </c>
      <c r="C272" s="4">
        <v>0.14000000000000001</v>
      </c>
      <c r="D272" s="13" t="s">
        <v>12</v>
      </c>
      <c r="E272" s="6" t="s">
        <v>80</v>
      </c>
      <c r="F272" s="17" t="s">
        <v>45</v>
      </c>
      <c r="G272" s="51"/>
    </row>
    <row r="273" spans="1:7" ht="26.25" thickBot="1" x14ac:dyDescent="0.25">
      <c r="A273" s="24" t="s">
        <v>46</v>
      </c>
      <c r="B273" s="25"/>
      <c r="C273" s="26">
        <v>2.3999999999999998E-3</v>
      </c>
      <c r="D273" s="25"/>
      <c r="E273" s="25"/>
      <c r="F273" s="27"/>
      <c r="G273" s="51"/>
    </row>
    <row r="274" spans="1:7" ht="15" thickBot="1" x14ac:dyDescent="0.25">
      <c r="A274" s="43" t="s">
        <v>332</v>
      </c>
      <c r="B274" s="43"/>
      <c r="C274" s="43"/>
      <c r="D274" s="43"/>
      <c r="E274" s="43"/>
      <c r="F274" s="43"/>
      <c r="G274" s="51"/>
    </row>
    <row r="275" spans="1:7" x14ac:dyDescent="0.2">
      <c r="A275" s="1" t="s">
        <v>1</v>
      </c>
      <c r="B275" s="44" t="s">
        <v>109</v>
      </c>
      <c r="C275" s="45"/>
      <c r="D275" s="45"/>
      <c r="E275" s="45"/>
      <c r="F275" s="46"/>
      <c r="G275" s="51"/>
    </row>
    <row r="276" spans="1:7" ht="15" thickBot="1" x14ac:dyDescent="0.25">
      <c r="A276" s="2" t="s">
        <v>3</v>
      </c>
      <c r="B276" s="40" t="s">
        <v>110</v>
      </c>
      <c r="C276" s="41"/>
      <c r="D276" s="41"/>
      <c r="E276" s="41"/>
      <c r="F276" s="42"/>
      <c r="G276" s="51"/>
    </row>
    <row r="277" spans="1:7" ht="15" thickBot="1" x14ac:dyDescent="0.25">
      <c r="A277" s="19" t="s">
        <v>5</v>
      </c>
      <c r="B277" s="20" t="s">
        <v>6</v>
      </c>
      <c r="C277" s="21" t="s">
        <v>7</v>
      </c>
      <c r="D277" s="21" t="s">
        <v>8</v>
      </c>
      <c r="E277" s="22" t="s">
        <v>9</v>
      </c>
      <c r="F277" s="23" t="s">
        <v>10</v>
      </c>
      <c r="G277" s="51"/>
    </row>
    <row r="278" spans="1:7" ht="25.5" x14ac:dyDescent="0.2">
      <c r="A278" s="14" t="s">
        <v>11</v>
      </c>
      <c r="B278" s="3">
        <v>9.6278611423712981E-2</v>
      </c>
      <c r="C278" s="4">
        <v>0.04</v>
      </c>
      <c r="D278" s="5" t="s">
        <v>12</v>
      </c>
      <c r="E278" s="6" t="s">
        <v>40</v>
      </c>
      <c r="F278" s="17" t="s">
        <v>14</v>
      </c>
      <c r="G278" s="51"/>
    </row>
    <row r="279" spans="1:7" x14ac:dyDescent="0.2">
      <c r="A279" s="15" t="s">
        <v>15</v>
      </c>
      <c r="B279" s="3">
        <v>0.48279929156432061</v>
      </c>
      <c r="C279" s="4">
        <v>0.48</v>
      </c>
      <c r="D279" s="7" t="s">
        <v>16</v>
      </c>
      <c r="E279" s="6" t="s">
        <v>111</v>
      </c>
      <c r="F279" s="17" t="s">
        <v>18</v>
      </c>
      <c r="G279" s="51"/>
    </row>
    <row r="280" spans="1:7" x14ac:dyDescent="0.2">
      <c r="A280" s="15" t="s">
        <v>19</v>
      </c>
      <c r="B280" s="3">
        <v>2.9144409598867119E-2</v>
      </c>
      <c r="C280" s="4">
        <v>0.03</v>
      </c>
      <c r="D280" s="7" t="s">
        <v>16</v>
      </c>
      <c r="E280" s="6" t="s">
        <v>20</v>
      </c>
      <c r="F280" s="17" t="s">
        <v>21</v>
      </c>
      <c r="G280" s="51"/>
    </row>
    <row r="281" spans="1:7" ht="38.25" x14ac:dyDescent="0.2">
      <c r="A281" s="15" t="s">
        <v>24</v>
      </c>
      <c r="B281" s="3">
        <v>0.31784283455320367</v>
      </c>
      <c r="C281" s="4">
        <v>0.3</v>
      </c>
      <c r="D281" s="7" t="s">
        <v>12</v>
      </c>
      <c r="E281" s="6" t="s">
        <v>67</v>
      </c>
      <c r="F281" s="17" t="s">
        <v>26</v>
      </c>
      <c r="G281" s="51"/>
    </row>
    <row r="282" spans="1:7" x14ac:dyDescent="0.2">
      <c r="A282" s="15" t="s">
        <v>27</v>
      </c>
      <c r="B282" s="3">
        <v>7.8847753918192501E-2</v>
      </c>
      <c r="C282" s="4">
        <v>0.11</v>
      </c>
      <c r="D282" s="7" t="s">
        <v>12</v>
      </c>
      <c r="E282" s="6" t="s">
        <v>112</v>
      </c>
      <c r="F282" s="17" t="s">
        <v>29</v>
      </c>
      <c r="G282" s="51"/>
    </row>
    <row r="283" spans="1:7" x14ac:dyDescent="0.2">
      <c r="A283" s="15" t="s">
        <v>42</v>
      </c>
      <c r="B283" s="9">
        <f>SUBTOTAL(109,B278:B282)</f>
        <v>1.0049129010582969</v>
      </c>
      <c r="C283" s="10">
        <f>SUBTOTAL(109,C278:C282)</f>
        <v>0.96000000000000008</v>
      </c>
      <c r="D283" s="7"/>
      <c r="E283" s="11"/>
      <c r="F283" s="18"/>
      <c r="G283" s="51"/>
    </row>
    <row r="284" spans="1:7" ht="15" thickBot="1" x14ac:dyDescent="0.25">
      <c r="A284" s="16" t="s">
        <v>43</v>
      </c>
      <c r="B284" s="12">
        <v>0.10426105480699094</v>
      </c>
      <c r="C284" s="4">
        <v>0.12</v>
      </c>
      <c r="D284" s="13" t="s">
        <v>12</v>
      </c>
      <c r="E284" s="6" t="s">
        <v>108</v>
      </c>
      <c r="F284" s="17" t="s">
        <v>45</v>
      </c>
      <c r="G284" s="51"/>
    </row>
    <row r="285" spans="1:7" ht="26.25" thickBot="1" x14ac:dyDescent="0.25">
      <c r="A285" s="24" t="s">
        <v>46</v>
      </c>
      <c r="B285" s="25"/>
      <c r="C285" s="26">
        <v>1E-3</v>
      </c>
      <c r="D285" s="25"/>
      <c r="E285" s="25"/>
      <c r="F285" s="27"/>
      <c r="G285" s="51"/>
    </row>
    <row r="286" spans="1:7" ht="15" thickBot="1" x14ac:dyDescent="0.25">
      <c r="A286" s="43" t="s">
        <v>332</v>
      </c>
      <c r="B286" s="43"/>
      <c r="C286" s="43"/>
      <c r="D286" s="43"/>
      <c r="E286" s="43"/>
      <c r="F286" s="43"/>
      <c r="G286" s="51"/>
    </row>
    <row r="287" spans="1:7" x14ac:dyDescent="0.2">
      <c r="A287" s="1" t="s">
        <v>1</v>
      </c>
      <c r="B287" s="44" t="s">
        <v>113</v>
      </c>
      <c r="C287" s="45"/>
      <c r="D287" s="45"/>
      <c r="E287" s="45"/>
      <c r="F287" s="46"/>
      <c r="G287" s="51"/>
    </row>
    <row r="288" spans="1:7" ht="15" thickBot="1" x14ac:dyDescent="0.25">
      <c r="A288" s="2" t="s">
        <v>3</v>
      </c>
      <c r="B288" s="40" t="s">
        <v>114</v>
      </c>
      <c r="C288" s="41"/>
      <c r="D288" s="41"/>
      <c r="E288" s="41"/>
      <c r="F288" s="42"/>
      <c r="G288" s="51"/>
    </row>
    <row r="289" spans="1:7" ht="15" thickBot="1" x14ac:dyDescent="0.25">
      <c r="A289" s="19" t="s">
        <v>5</v>
      </c>
      <c r="B289" s="20" t="s">
        <v>6</v>
      </c>
      <c r="C289" s="21" t="s">
        <v>7</v>
      </c>
      <c r="D289" s="21" t="s">
        <v>8</v>
      </c>
      <c r="E289" s="22" t="s">
        <v>9</v>
      </c>
      <c r="F289" s="23" t="s">
        <v>10</v>
      </c>
      <c r="G289" s="51"/>
    </row>
    <row r="290" spans="1:7" ht="25.5" x14ac:dyDescent="0.2">
      <c r="A290" s="14" t="s">
        <v>11</v>
      </c>
      <c r="B290" s="3">
        <v>0.96106249592017934</v>
      </c>
      <c r="C290" s="4">
        <v>0.98</v>
      </c>
      <c r="D290" s="5" t="s">
        <v>12</v>
      </c>
      <c r="E290" s="6" t="s">
        <v>115</v>
      </c>
      <c r="F290" s="17" t="s">
        <v>14</v>
      </c>
      <c r="G290" s="51"/>
    </row>
    <row r="291" spans="1:7" x14ac:dyDescent="0.2">
      <c r="A291" s="15" t="s">
        <v>15</v>
      </c>
      <c r="B291" s="3">
        <v>3.3506433092037491E-2</v>
      </c>
      <c r="C291" s="4">
        <v>0.05</v>
      </c>
      <c r="D291" s="7" t="s">
        <v>16</v>
      </c>
      <c r="E291" s="6" t="s">
        <v>40</v>
      </c>
      <c r="F291" s="17" t="s">
        <v>18</v>
      </c>
      <c r="G291" s="51"/>
    </row>
    <row r="292" spans="1:7" x14ac:dyDescent="0.2">
      <c r="A292" s="15" t="s">
        <v>19</v>
      </c>
      <c r="B292" s="3">
        <v>7.8073900519851303E-2</v>
      </c>
      <c r="C292" s="4">
        <v>0.1</v>
      </c>
      <c r="D292" s="7" t="s">
        <v>16</v>
      </c>
      <c r="E292" s="6" t="s">
        <v>101</v>
      </c>
      <c r="F292" s="17" t="s">
        <v>21</v>
      </c>
      <c r="G292" s="51"/>
    </row>
    <row r="293" spans="1:7" x14ac:dyDescent="0.2">
      <c r="A293" s="15" t="s">
        <v>24</v>
      </c>
      <c r="B293" s="3">
        <v>2.9795328263438393E-3</v>
      </c>
      <c r="C293" s="4">
        <v>0</v>
      </c>
      <c r="D293" s="7" t="s">
        <v>12</v>
      </c>
      <c r="E293" s="6" t="s">
        <v>56</v>
      </c>
      <c r="F293" s="17">
        <v>0</v>
      </c>
      <c r="G293" s="51"/>
    </row>
    <row r="294" spans="1:7" x14ac:dyDescent="0.2">
      <c r="A294" s="15" t="s">
        <v>30</v>
      </c>
      <c r="B294" s="3">
        <v>3.2754493280619801E-2</v>
      </c>
      <c r="C294" s="4">
        <v>0.04</v>
      </c>
      <c r="D294" s="7" t="s">
        <v>16</v>
      </c>
      <c r="E294" s="6" t="s">
        <v>31</v>
      </c>
      <c r="F294" s="17" t="s">
        <v>32</v>
      </c>
      <c r="G294" s="51"/>
    </row>
    <row r="295" spans="1:7" x14ac:dyDescent="0.2">
      <c r="A295" s="15" t="s">
        <v>33</v>
      </c>
      <c r="B295" s="3">
        <v>2.2044591520666401E-2</v>
      </c>
      <c r="C295" s="4">
        <v>0.04</v>
      </c>
      <c r="D295" s="7" t="s">
        <v>16</v>
      </c>
      <c r="E295" s="6" t="s">
        <v>31</v>
      </c>
      <c r="F295" s="17" t="s">
        <v>34</v>
      </c>
      <c r="G295" s="51"/>
    </row>
    <row r="296" spans="1:7" x14ac:dyDescent="0.2">
      <c r="A296" s="15" t="s">
        <v>37</v>
      </c>
      <c r="B296" s="3">
        <v>1.3811352146206393E-3</v>
      </c>
      <c r="C296" s="4">
        <v>0.01</v>
      </c>
      <c r="D296" s="7" t="s">
        <v>16</v>
      </c>
      <c r="E296" s="6" t="s">
        <v>56</v>
      </c>
      <c r="F296" s="17" t="s">
        <v>38</v>
      </c>
      <c r="G296" s="51"/>
    </row>
    <row r="297" spans="1:7" x14ac:dyDescent="0.2">
      <c r="A297" s="15" t="s">
        <v>39</v>
      </c>
      <c r="B297" s="3">
        <v>3.6467871993067051E-3</v>
      </c>
      <c r="C297" s="4">
        <v>0</v>
      </c>
      <c r="D297" s="7" t="s">
        <v>16</v>
      </c>
      <c r="E297" s="6" t="s">
        <v>23</v>
      </c>
      <c r="F297" s="17">
        <v>0</v>
      </c>
      <c r="G297" s="51"/>
    </row>
    <row r="298" spans="1:7" x14ac:dyDescent="0.2">
      <c r="A298" s="15" t="s">
        <v>42</v>
      </c>
      <c r="B298" s="9">
        <f>SUBTOTAL(109,B290:B297)</f>
        <v>1.1354493695736254</v>
      </c>
      <c r="C298" s="10">
        <f>SUBTOTAL(109,C290:C297)</f>
        <v>1.2200000000000002</v>
      </c>
      <c r="D298" s="7"/>
      <c r="E298" s="11"/>
      <c r="F298" s="18"/>
      <c r="G298" s="51"/>
    </row>
    <row r="299" spans="1:7" ht="15" thickBot="1" x14ac:dyDescent="0.25">
      <c r="A299" s="16" t="s">
        <v>43</v>
      </c>
      <c r="B299" s="12">
        <v>0.2422869786664415</v>
      </c>
      <c r="C299" s="4">
        <v>0.28000000000000003</v>
      </c>
      <c r="D299" s="13" t="s">
        <v>12</v>
      </c>
      <c r="E299" s="6" t="s">
        <v>105</v>
      </c>
      <c r="F299" s="17" t="s">
        <v>45</v>
      </c>
      <c r="G299" s="51"/>
    </row>
    <row r="300" spans="1:7" ht="26.25" thickBot="1" x14ac:dyDescent="0.25">
      <c r="A300" s="24" t="s">
        <v>46</v>
      </c>
      <c r="B300" s="25"/>
      <c r="C300" s="26">
        <v>1.8E-3</v>
      </c>
      <c r="D300" s="25"/>
      <c r="E300" s="25"/>
      <c r="F300" s="27"/>
      <c r="G300" s="51"/>
    </row>
    <row r="301" spans="1:7" ht="15" thickBot="1" x14ac:dyDescent="0.25">
      <c r="A301" s="43" t="s">
        <v>332</v>
      </c>
      <c r="B301" s="43"/>
      <c r="C301" s="43"/>
      <c r="D301" s="43"/>
      <c r="E301" s="43"/>
      <c r="F301" s="43"/>
      <c r="G301" s="51"/>
    </row>
    <row r="302" spans="1:7" x14ac:dyDescent="0.2">
      <c r="A302" s="1" t="s">
        <v>1</v>
      </c>
      <c r="B302" s="44" t="s">
        <v>116</v>
      </c>
      <c r="C302" s="45"/>
      <c r="D302" s="45"/>
      <c r="E302" s="45"/>
      <c r="F302" s="46"/>
      <c r="G302" s="51"/>
    </row>
    <row r="303" spans="1:7" ht="15" thickBot="1" x14ac:dyDescent="0.25">
      <c r="A303" s="2" t="s">
        <v>3</v>
      </c>
      <c r="B303" s="40" t="s">
        <v>117</v>
      </c>
      <c r="C303" s="41"/>
      <c r="D303" s="41"/>
      <c r="E303" s="41"/>
      <c r="F303" s="42"/>
      <c r="G303" s="51"/>
    </row>
    <row r="304" spans="1:7" ht="15" thickBot="1" x14ac:dyDescent="0.25">
      <c r="A304" s="19" t="s">
        <v>5</v>
      </c>
      <c r="B304" s="20" t="s">
        <v>6</v>
      </c>
      <c r="C304" s="21" t="s">
        <v>7</v>
      </c>
      <c r="D304" s="21" t="s">
        <v>8</v>
      </c>
      <c r="E304" s="22" t="s">
        <v>9</v>
      </c>
      <c r="F304" s="23" t="s">
        <v>10</v>
      </c>
      <c r="G304" s="51"/>
    </row>
    <row r="305" spans="1:7" ht="25.5" x14ac:dyDescent="0.2">
      <c r="A305" s="14" t="s">
        <v>11</v>
      </c>
      <c r="B305" s="3">
        <v>0.964349994239592</v>
      </c>
      <c r="C305" s="4">
        <v>0.98</v>
      </c>
      <c r="D305" s="5" t="s">
        <v>12</v>
      </c>
      <c r="E305" s="6" t="s">
        <v>115</v>
      </c>
      <c r="F305" s="17" t="s">
        <v>14</v>
      </c>
      <c r="G305" s="51"/>
    </row>
    <row r="306" spans="1:7" x14ac:dyDescent="0.2">
      <c r="A306" s="15" t="s">
        <v>15</v>
      </c>
      <c r="B306" s="3">
        <v>4.787442419408857E-2</v>
      </c>
      <c r="C306" s="4">
        <v>0.05</v>
      </c>
      <c r="D306" s="7" t="s">
        <v>16</v>
      </c>
      <c r="E306" s="6" t="s">
        <v>40</v>
      </c>
      <c r="F306" s="17" t="s">
        <v>18</v>
      </c>
      <c r="G306" s="51"/>
    </row>
    <row r="307" spans="1:7" x14ac:dyDescent="0.2">
      <c r="A307" s="15" t="s">
        <v>19</v>
      </c>
      <c r="B307" s="3">
        <v>0.10228498824536997</v>
      </c>
      <c r="C307" s="4">
        <v>0.1</v>
      </c>
      <c r="D307" s="7" t="s">
        <v>16</v>
      </c>
      <c r="E307" s="6" t="s">
        <v>101</v>
      </c>
      <c r="F307" s="17" t="s">
        <v>21</v>
      </c>
      <c r="G307" s="51"/>
    </row>
    <row r="308" spans="1:7" x14ac:dyDescent="0.2">
      <c r="A308" s="15" t="s">
        <v>24</v>
      </c>
      <c r="B308" s="3">
        <v>2.9716765500175431E-3</v>
      </c>
      <c r="C308" s="4">
        <v>0</v>
      </c>
      <c r="D308" s="7" t="s">
        <v>12</v>
      </c>
      <c r="E308" s="6" t="s">
        <v>56</v>
      </c>
      <c r="F308" s="17">
        <v>0</v>
      </c>
      <c r="G308" s="51"/>
    </row>
    <row r="309" spans="1:7" x14ac:dyDescent="0.2">
      <c r="A309" s="15" t="s">
        <v>33</v>
      </c>
      <c r="B309" s="3">
        <v>2.0790634882170918E-2</v>
      </c>
      <c r="C309" s="4">
        <v>0.04</v>
      </c>
      <c r="D309" s="7" t="s">
        <v>16</v>
      </c>
      <c r="E309" s="6" t="s">
        <v>31</v>
      </c>
      <c r="F309" s="17" t="s">
        <v>34</v>
      </c>
      <c r="G309" s="51"/>
    </row>
    <row r="310" spans="1:7" x14ac:dyDescent="0.2">
      <c r="A310" s="15" t="s">
        <v>37</v>
      </c>
      <c r="B310" s="3">
        <v>1.2213332280719992E-3</v>
      </c>
      <c r="C310" s="4">
        <v>0.01</v>
      </c>
      <c r="D310" s="7" t="s">
        <v>16</v>
      </c>
      <c r="E310" s="6" t="s">
        <v>56</v>
      </c>
      <c r="F310" s="17" t="s">
        <v>38</v>
      </c>
      <c r="G310" s="51"/>
    </row>
    <row r="311" spans="1:7" x14ac:dyDescent="0.2">
      <c r="A311" s="15" t="s">
        <v>39</v>
      </c>
      <c r="B311" s="3">
        <v>3.6625363836851272E-3</v>
      </c>
      <c r="C311" s="4">
        <v>0</v>
      </c>
      <c r="D311" s="7" t="s">
        <v>16</v>
      </c>
      <c r="E311" s="6" t="s">
        <v>23</v>
      </c>
      <c r="F311" s="17">
        <v>0</v>
      </c>
      <c r="G311" s="51"/>
    </row>
    <row r="312" spans="1:7" x14ac:dyDescent="0.2">
      <c r="A312" s="15" t="s">
        <v>42</v>
      </c>
      <c r="B312" s="9">
        <f>SUBTOTAL(109,B305:B311)</f>
        <v>1.1431555877229962</v>
      </c>
      <c r="C312" s="10">
        <f>SUBTOTAL(109,C305:C311)</f>
        <v>1.1800000000000002</v>
      </c>
      <c r="D312" s="7"/>
      <c r="E312" s="11"/>
      <c r="F312" s="18"/>
      <c r="G312" s="51"/>
    </row>
    <row r="313" spans="1:7" ht="15" thickBot="1" x14ac:dyDescent="0.25">
      <c r="A313" s="16" t="s">
        <v>43</v>
      </c>
      <c r="B313" s="12">
        <v>0.24348173997582973</v>
      </c>
      <c r="C313" s="4">
        <v>0.28000000000000003</v>
      </c>
      <c r="D313" s="13" t="s">
        <v>12</v>
      </c>
      <c r="E313" s="6" t="s">
        <v>105</v>
      </c>
      <c r="F313" s="17" t="s">
        <v>45</v>
      </c>
      <c r="G313" s="51"/>
    </row>
    <row r="314" spans="1:7" ht="26.25" thickBot="1" x14ac:dyDescent="0.25">
      <c r="A314" s="24" t="s">
        <v>46</v>
      </c>
      <c r="B314" s="25"/>
      <c r="C314" s="26">
        <v>1.8E-3</v>
      </c>
      <c r="D314" s="25"/>
      <c r="E314" s="25"/>
      <c r="F314" s="27"/>
      <c r="G314" s="51"/>
    </row>
    <row r="315" spans="1:7" ht="15" thickBot="1" x14ac:dyDescent="0.25">
      <c r="A315" s="43" t="s">
        <v>332</v>
      </c>
      <c r="B315" s="43"/>
      <c r="C315" s="43"/>
      <c r="D315" s="43"/>
      <c r="E315" s="43"/>
      <c r="F315" s="43"/>
      <c r="G315" s="51"/>
    </row>
    <row r="316" spans="1:7" x14ac:dyDescent="0.2">
      <c r="A316" s="1" t="s">
        <v>1</v>
      </c>
      <c r="B316" s="44" t="s">
        <v>118</v>
      </c>
      <c r="C316" s="45"/>
      <c r="D316" s="45"/>
      <c r="E316" s="45"/>
      <c r="F316" s="46"/>
      <c r="G316" s="51"/>
    </row>
    <row r="317" spans="1:7" ht="15" thickBot="1" x14ac:dyDescent="0.25">
      <c r="A317" s="2" t="s">
        <v>3</v>
      </c>
      <c r="B317" s="40" t="s">
        <v>119</v>
      </c>
      <c r="C317" s="41"/>
      <c r="D317" s="41"/>
      <c r="E317" s="41"/>
      <c r="F317" s="42"/>
      <c r="G317" s="51"/>
    </row>
    <row r="318" spans="1:7" ht="15" thickBot="1" x14ac:dyDescent="0.25">
      <c r="A318" s="19" t="s">
        <v>5</v>
      </c>
      <c r="B318" s="20" t="s">
        <v>6</v>
      </c>
      <c r="C318" s="21" t="s">
        <v>7</v>
      </c>
      <c r="D318" s="21" t="s">
        <v>8</v>
      </c>
      <c r="E318" s="22" t="s">
        <v>9</v>
      </c>
      <c r="F318" s="23" t="s">
        <v>10</v>
      </c>
      <c r="G318" s="51"/>
    </row>
    <row r="319" spans="1:7" ht="25.5" x14ac:dyDescent="0.2">
      <c r="A319" s="14" t="s">
        <v>11</v>
      </c>
      <c r="B319" s="3">
        <v>0.70290169738605135</v>
      </c>
      <c r="C319" s="4">
        <v>0.7</v>
      </c>
      <c r="D319" s="5" t="s">
        <v>12</v>
      </c>
      <c r="E319" s="6" t="s">
        <v>120</v>
      </c>
      <c r="F319" s="17" t="s">
        <v>14</v>
      </c>
      <c r="G319" s="51"/>
    </row>
    <row r="320" spans="1:7" x14ac:dyDescent="0.2">
      <c r="A320" s="15" t="s">
        <v>15</v>
      </c>
      <c r="B320" s="3">
        <v>4.2214663570638411E-2</v>
      </c>
      <c r="C320" s="4">
        <v>0.05</v>
      </c>
      <c r="D320" s="7" t="s">
        <v>16</v>
      </c>
      <c r="E320" s="6" t="s">
        <v>40</v>
      </c>
      <c r="F320" s="17" t="s">
        <v>18</v>
      </c>
      <c r="G320" s="51"/>
    </row>
    <row r="321" spans="1:7" x14ac:dyDescent="0.2">
      <c r="A321" s="15" t="s">
        <v>19</v>
      </c>
      <c r="B321" s="3">
        <v>7.655890424566987E-2</v>
      </c>
      <c r="C321" s="4">
        <v>0.05</v>
      </c>
      <c r="D321" s="7" t="s">
        <v>16</v>
      </c>
      <c r="E321" s="6" t="s">
        <v>40</v>
      </c>
      <c r="F321" s="17" t="s">
        <v>121</v>
      </c>
      <c r="G321" s="51"/>
    </row>
    <row r="322" spans="1:7" x14ac:dyDescent="0.2">
      <c r="A322" s="15" t="s">
        <v>22</v>
      </c>
      <c r="B322" s="3">
        <v>0.24892727938462905</v>
      </c>
      <c r="C322" s="4">
        <v>0.28000000000000003</v>
      </c>
      <c r="D322" s="7" t="s">
        <v>16</v>
      </c>
      <c r="E322" s="6" t="s">
        <v>78</v>
      </c>
      <c r="F322" s="17" t="s">
        <v>79</v>
      </c>
      <c r="G322" s="51"/>
    </row>
    <row r="323" spans="1:7" x14ac:dyDescent="0.2">
      <c r="A323" s="15" t="s">
        <v>24</v>
      </c>
      <c r="B323" s="3">
        <v>2.298330622082438E-3</v>
      </c>
      <c r="C323" s="4">
        <v>0</v>
      </c>
      <c r="D323" s="7" t="s">
        <v>12</v>
      </c>
      <c r="E323" s="6" t="s">
        <v>56</v>
      </c>
      <c r="F323" s="17">
        <v>0</v>
      </c>
      <c r="G323" s="51"/>
    </row>
    <row r="324" spans="1:7" x14ac:dyDescent="0.2">
      <c r="A324" s="15" t="s">
        <v>33</v>
      </c>
      <c r="B324" s="3">
        <v>8.0533591358041574E-3</v>
      </c>
      <c r="C324" s="4">
        <v>0.01</v>
      </c>
      <c r="D324" s="7" t="s">
        <v>16</v>
      </c>
      <c r="E324" s="6" t="s">
        <v>56</v>
      </c>
      <c r="F324" s="17" t="s">
        <v>34</v>
      </c>
      <c r="G324" s="51"/>
    </row>
    <row r="325" spans="1:7" x14ac:dyDescent="0.2">
      <c r="A325" s="15" t="s">
        <v>39</v>
      </c>
      <c r="B325" s="3">
        <v>2.7435499407618938E-3</v>
      </c>
      <c r="C325" s="4">
        <v>0</v>
      </c>
      <c r="D325" s="7" t="s">
        <v>16</v>
      </c>
      <c r="E325" s="6" t="s">
        <v>23</v>
      </c>
      <c r="F325" s="17">
        <v>0</v>
      </c>
      <c r="G325" s="51"/>
    </row>
    <row r="326" spans="1:7" x14ac:dyDescent="0.2">
      <c r="A326" s="15" t="s">
        <v>42</v>
      </c>
      <c r="B326" s="9">
        <f>SUBTOTAL(109,B319:B325)</f>
        <v>1.0836977842856372</v>
      </c>
      <c r="C326" s="10">
        <f>SUBTOTAL(109,C319:C325)</f>
        <v>1.0900000000000001</v>
      </c>
      <c r="D326" s="7"/>
      <c r="E326" s="11"/>
      <c r="F326" s="18"/>
      <c r="G326" s="51"/>
    </row>
    <row r="327" spans="1:7" ht="15" thickBot="1" x14ac:dyDescent="0.25">
      <c r="A327" s="16" t="s">
        <v>43</v>
      </c>
      <c r="B327" s="12">
        <v>0.22918354742114422</v>
      </c>
      <c r="C327" s="4">
        <v>0.28000000000000003</v>
      </c>
      <c r="D327" s="13" t="s">
        <v>12</v>
      </c>
      <c r="E327" s="6" t="s">
        <v>105</v>
      </c>
      <c r="F327" s="17" t="s">
        <v>45</v>
      </c>
      <c r="G327" s="51"/>
    </row>
    <row r="328" spans="1:7" ht="26.25" thickBot="1" x14ac:dyDescent="0.25">
      <c r="A328" s="24" t="s">
        <v>46</v>
      </c>
      <c r="B328" s="25"/>
      <c r="C328" s="26">
        <v>1.4E-3</v>
      </c>
      <c r="D328" s="25"/>
      <c r="E328" s="25"/>
      <c r="F328" s="27"/>
      <c r="G328" s="51"/>
    </row>
    <row r="329" spans="1:7" ht="15" thickBot="1" x14ac:dyDescent="0.25">
      <c r="A329" s="43" t="s">
        <v>332</v>
      </c>
      <c r="B329" s="43"/>
      <c r="C329" s="43"/>
      <c r="D329" s="43"/>
      <c r="E329" s="43"/>
      <c r="F329" s="43"/>
      <c r="G329" s="51"/>
    </row>
    <row r="330" spans="1:7" x14ac:dyDescent="0.2">
      <c r="A330" s="1" t="s">
        <v>1</v>
      </c>
      <c r="B330" s="44" t="s">
        <v>122</v>
      </c>
      <c r="C330" s="45"/>
      <c r="D330" s="45"/>
      <c r="E330" s="45"/>
      <c r="F330" s="46"/>
      <c r="G330" s="51"/>
    </row>
    <row r="331" spans="1:7" ht="15" thickBot="1" x14ac:dyDescent="0.25">
      <c r="A331" s="2" t="s">
        <v>3</v>
      </c>
      <c r="B331" s="40" t="s">
        <v>123</v>
      </c>
      <c r="C331" s="41"/>
      <c r="D331" s="41"/>
      <c r="E331" s="41"/>
      <c r="F331" s="42"/>
      <c r="G331" s="51"/>
    </row>
    <row r="332" spans="1:7" ht="15" thickBot="1" x14ac:dyDescent="0.25">
      <c r="A332" s="19" t="s">
        <v>5</v>
      </c>
      <c r="B332" s="20" t="s">
        <v>6</v>
      </c>
      <c r="C332" s="21" t="s">
        <v>7</v>
      </c>
      <c r="D332" s="21" t="s">
        <v>8</v>
      </c>
      <c r="E332" s="22" t="s">
        <v>9</v>
      </c>
      <c r="F332" s="23" t="s">
        <v>10</v>
      </c>
      <c r="G332" s="51"/>
    </row>
    <row r="333" spans="1:7" ht="25.5" x14ac:dyDescent="0.2">
      <c r="A333" s="14" t="s">
        <v>11</v>
      </c>
      <c r="B333" s="3">
        <v>0.96678437768272929</v>
      </c>
      <c r="C333" s="4">
        <v>0.98</v>
      </c>
      <c r="D333" s="5" t="s">
        <v>12</v>
      </c>
      <c r="E333" s="6" t="s">
        <v>115</v>
      </c>
      <c r="F333" s="17" t="s">
        <v>14</v>
      </c>
      <c r="G333" s="51"/>
    </row>
    <row r="334" spans="1:7" x14ac:dyDescent="0.2">
      <c r="A334" s="15" t="s">
        <v>15</v>
      </c>
      <c r="B334" s="3">
        <v>4.4577056797173019E-2</v>
      </c>
      <c r="C334" s="4">
        <v>0.05</v>
      </c>
      <c r="D334" s="7" t="s">
        <v>16</v>
      </c>
      <c r="E334" s="6" t="s">
        <v>40</v>
      </c>
      <c r="F334" s="17" t="s">
        <v>18</v>
      </c>
      <c r="G334" s="51"/>
    </row>
    <row r="335" spans="1:7" x14ac:dyDescent="0.2">
      <c r="A335" s="15" t="s">
        <v>19</v>
      </c>
      <c r="B335" s="3">
        <v>7.303349704884543E-2</v>
      </c>
      <c r="C335" s="4">
        <v>0.1</v>
      </c>
      <c r="D335" s="7" t="s">
        <v>16</v>
      </c>
      <c r="E335" s="6" t="s">
        <v>101</v>
      </c>
      <c r="F335" s="17" t="s">
        <v>21</v>
      </c>
      <c r="G335" s="51"/>
    </row>
    <row r="336" spans="1:7" x14ac:dyDescent="0.2">
      <c r="A336" s="15" t="s">
        <v>24</v>
      </c>
      <c r="B336" s="3">
        <v>3.0056603593609267E-3</v>
      </c>
      <c r="C336" s="4">
        <v>0</v>
      </c>
      <c r="D336" s="7" t="s">
        <v>12</v>
      </c>
      <c r="E336" s="6" t="s">
        <v>56</v>
      </c>
      <c r="F336" s="17">
        <v>0</v>
      </c>
      <c r="G336" s="51"/>
    </row>
    <row r="337" spans="1:7" x14ac:dyDescent="0.2">
      <c r="A337" s="15" t="s">
        <v>30</v>
      </c>
      <c r="B337" s="3">
        <v>2.8531369365823615E-2</v>
      </c>
      <c r="C337" s="4">
        <v>0.04</v>
      </c>
      <c r="D337" s="7" t="s">
        <v>16</v>
      </c>
      <c r="E337" s="6" t="s">
        <v>31</v>
      </c>
      <c r="F337" s="17" t="s">
        <v>32</v>
      </c>
      <c r="G337" s="51"/>
    </row>
    <row r="338" spans="1:7" x14ac:dyDescent="0.2">
      <c r="A338" s="15" t="s">
        <v>33</v>
      </c>
      <c r="B338" s="3">
        <v>2.3202755989387275E-2</v>
      </c>
      <c r="C338" s="4">
        <v>0.04</v>
      </c>
      <c r="D338" s="7" t="s">
        <v>16</v>
      </c>
      <c r="E338" s="6" t="s">
        <v>31</v>
      </c>
      <c r="F338" s="17" t="s">
        <v>34</v>
      </c>
      <c r="G338" s="51"/>
    </row>
    <row r="339" spans="1:7" x14ac:dyDescent="0.2">
      <c r="A339" s="15" t="s">
        <v>39</v>
      </c>
      <c r="B339" s="3">
        <v>3.6731332292116027E-3</v>
      </c>
      <c r="C339" s="4">
        <v>0</v>
      </c>
      <c r="D339" s="7" t="s">
        <v>16</v>
      </c>
      <c r="E339" s="6" t="s">
        <v>23</v>
      </c>
      <c r="F339" s="17">
        <v>0</v>
      </c>
      <c r="G339" s="51"/>
    </row>
    <row r="340" spans="1:7" x14ac:dyDescent="0.2">
      <c r="A340" s="15" t="s">
        <v>42</v>
      </c>
      <c r="B340" s="9">
        <f>SUBTOTAL(109,B333:B339)</f>
        <v>1.142807850472531</v>
      </c>
      <c r="C340" s="10">
        <f>SUBTOTAL(109,C333:C339)</f>
        <v>1.2100000000000002</v>
      </c>
      <c r="D340" s="7"/>
      <c r="E340" s="11"/>
      <c r="F340" s="18"/>
      <c r="G340" s="51"/>
    </row>
    <row r="341" spans="1:7" ht="15" thickBot="1" x14ac:dyDescent="0.25">
      <c r="A341" s="16" t="s">
        <v>43</v>
      </c>
      <c r="B341" s="12">
        <v>0.24241931015763071</v>
      </c>
      <c r="C341" s="4">
        <v>0.28000000000000003</v>
      </c>
      <c r="D341" s="13" t="s">
        <v>12</v>
      </c>
      <c r="E341" s="6" t="s">
        <v>105</v>
      </c>
      <c r="F341" s="17" t="s">
        <v>45</v>
      </c>
      <c r="G341" s="51"/>
    </row>
    <row r="342" spans="1:7" ht="26.25" thickBot="1" x14ac:dyDescent="0.25">
      <c r="A342" s="24" t="s">
        <v>46</v>
      </c>
      <c r="B342" s="25"/>
      <c r="C342" s="26">
        <v>1.8E-3</v>
      </c>
      <c r="D342" s="25"/>
      <c r="E342" s="25"/>
      <c r="F342" s="27"/>
      <c r="G342" s="51"/>
    </row>
    <row r="343" spans="1:7" ht="15" thickBot="1" x14ac:dyDescent="0.25">
      <c r="A343" s="43" t="s">
        <v>332</v>
      </c>
      <c r="B343" s="43"/>
      <c r="C343" s="43"/>
      <c r="D343" s="43"/>
      <c r="E343" s="43"/>
      <c r="F343" s="43"/>
      <c r="G343" s="51"/>
    </row>
    <row r="344" spans="1:7" x14ac:dyDescent="0.2">
      <c r="A344" s="1" t="s">
        <v>1</v>
      </c>
      <c r="B344" s="44" t="s">
        <v>124</v>
      </c>
      <c r="C344" s="45"/>
      <c r="D344" s="45"/>
      <c r="E344" s="45"/>
      <c r="F344" s="46"/>
      <c r="G344" s="51"/>
    </row>
    <row r="345" spans="1:7" ht="15" thickBot="1" x14ac:dyDescent="0.25">
      <c r="A345" s="2" t="s">
        <v>3</v>
      </c>
      <c r="B345" s="40" t="s">
        <v>125</v>
      </c>
      <c r="C345" s="41"/>
      <c r="D345" s="41"/>
      <c r="E345" s="41"/>
      <c r="F345" s="42"/>
      <c r="G345" s="51"/>
    </row>
    <row r="346" spans="1:7" ht="15" thickBot="1" x14ac:dyDescent="0.25">
      <c r="A346" s="19" t="s">
        <v>5</v>
      </c>
      <c r="B346" s="20" t="s">
        <v>6</v>
      </c>
      <c r="C346" s="21" t="s">
        <v>7</v>
      </c>
      <c r="D346" s="21" t="s">
        <v>8</v>
      </c>
      <c r="E346" s="22" t="s">
        <v>9</v>
      </c>
      <c r="F346" s="23" t="s">
        <v>10</v>
      </c>
      <c r="G346" s="51"/>
    </row>
    <row r="347" spans="1:7" ht="25.5" x14ac:dyDescent="0.2">
      <c r="A347" s="14" t="s">
        <v>11</v>
      </c>
      <c r="B347" s="3">
        <v>0.97330559625924695</v>
      </c>
      <c r="C347" s="4">
        <v>0.98</v>
      </c>
      <c r="D347" s="5" t="s">
        <v>12</v>
      </c>
      <c r="E347" s="6" t="s">
        <v>115</v>
      </c>
      <c r="F347" s="17" t="s">
        <v>14</v>
      </c>
      <c r="G347" s="51"/>
    </row>
    <row r="348" spans="1:7" x14ac:dyDescent="0.2">
      <c r="A348" s="15" t="s">
        <v>15</v>
      </c>
      <c r="B348" s="3">
        <v>4.6036663170204287E-2</v>
      </c>
      <c r="C348" s="4">
        <v>0.05</v>
      </c>
      <c r="D348" s="7" t="s">
        <v>16</v>
      </c>
      <c r="E348" s="6" t="s">
        <v>40</v>
      </c>
      <c r="F348" s="17" t="s">
        <v>18</v>
      </c>
      <c r="G348" s="51"/>
    </row>
    <row r="349" spans="1:7" x14ac:dyDescent="0.2">
      <c r="A349" s="15" t="s">
        <v>19</v>
      </c>
      <c r="B349" s="3">
        <v>7.8057379558556836E-2</v>
      </c>
      <c r="C349" s="4">
        <v>0.1</v>
      </c>
      <c r="D349" s="7" t="s">
        <v>16</v>
      </c>
      <c r="E349" s="6" t="s">
        <v>101</v>
      </c>
      <c r="F349" s="17" t="s">
        <v>21</v>
      </c>
      <c r="G349" s="51"/>
    </row>
    <row r="350" spans="1:7" ht="38.25" x14ac:dyDescent="0.2">
      <c r="A350" s="15" t="s">
        <v>24</v>
      </c>
      <c r="B350" s="3">
        <v>2.0437673854641049E-2</v>
      </c>
      <c r="C350" s="4">
        <v>0</v>
      </c>
      <c r="D350" s="7" t="s">
        <v>12</v>
      </c>
      <c r="E350" s="6" t="s">
        <v>56</v>
      </c>
      <c r="F350" s="17" t="s">
        <v>26</v>
      </c>
      <c r="G350" s="51"/>
    </row>
    <row r="351" spans="1:7" x14ac:dyDescent="0.2">
      <c r="A351" s="15" t="s">
        <v>33</v>
      </c>
      <c r="B351" s="3">
        <v>2.7747182997616471E-2</v>
      </c>
      <c r="C351" s="4">
        <v>0.04</v>
      </c>
      <c r="D351" s="7" t="s">
        <v>16</v>
      </c>
      <c r="E351" s="6" t="s">
        <v>31</v>
      </c>
      <c r="F351" s="17" t="s">
        <v>34</v>
      </c>
      <c r="G351" s="51"/>
    </row>
    <row r="352" spans="1:7" x14ac:dyDescent="0.2">
      <c r="A352" s="15" t="s">
        <v>39</v>
      </c>
      <c r="B352" s="3">
        <v>3.5735262385208823E-3</v>
      </c>
      <c r="C352" s="4">
        <v>0</v>
      </c>
      <c r="D352" s="7" t="s">
        <v>16</v>
      </c>
      <c r="E352" s="6" t="s">
        <v>23</v>
      </c>
      <c r="F352" s="17">
        <v>0</v>
      </c>
      <c r="G352" s="51"/>
    </row>
    <row r="353" spans="1:7" x14ac:dyDescent="0.2">
      <c r="A353" s="15" t="s">
        <v>42</v>
      </c>
      <c r="B353" s="9">
        <f>SUBTOTAL(109,B347:B352)</f>
        <v>1.1491580220787865</v>
      </c>
      <c r="C353" s="10">
        <f>SUBTOTAL(109,C347:C352)</f>
        <v>1.1700000000000002</v>
      </c>
      <c r="D353" s="7"/>
      <c r="E353" s="11"/>
      <c r="F353" s="18"/>
      <c r="G353" s="51"/>
    </row>
    <row r="354" spans="1:7" ht="15" thickBot="1" x14ac:dyDescent="0.25">
      <c r="A354" s="16" t="s">
        <v>43</v>
      </c>
      <c r="B354" s="12">
        <v>0.23915311019814717</v>
      </c>
      <c r="C354" s="4">
        <v>0.28000000000000003</v>
      </c>
      <c r="D354" s="13" t="s">
        <v>12</v>
      </c>
      <c r="E354" s="6" t="s">
        <v>105</v>
      </c>
      <c r="F354" s="17" t="s">
        <v>45</v>
      </c>
      <c r="G354" s="51"/>
    </row>
    <row r="355" spans="1:7" ht="26.25" thickBot="1" x14ac:dyDescent="0.25">
      <c r="A355" s="24" t="s">
        <v>46</v>
      </c>
      <c r="B355" s="25"/>
      <c r="C355" s="26">
        <v>1.8E-3</v>
      </c>
      <c r="D355" s="25"/>
      <c r="E355" s="25"/>
      <c r="F355" s="27"/>
      <c r="G355" s="51"/>
    </row>
    <row r="356" spans="1:7" ht="15" thickBot="1" x14ac:dyDescent="0.25">
      <c r="A356" s="43" t="s">
        <v>332</v>
      </c>
      <c r="B356" s="43"/>
      <c r="C356" s="43"/>
      <c r="D356" s="43"/>
      <c r="E356" s="43"/>
      <c r="F356" s="43"/>
      <c r="G356" s="51"/>
    </row>
    <row r="357" spans="1:7" x14ac:dyDescent="0.2">
      <c r="A357" s="1" t="s">
        <v>1</v>
      </c>
      <c r="B357" s="44" t="s">
        <v>126</v>
      </c>
      <c r="C357" s="45"/>
      <c r="D357" s="45"/>
      <c r="E357" s="45"/>
      <c r="F357" s="46"/>
      <c r="G357" s="51"/>
    </row>
    <row r="358" spans="1:7" ht="15" thickBot="1" x14ac:dyDescent="0.25">
      <c r="A358" s="2" t="s">
        <v>3</v>
      </c>
      <c r="B358" s="40" t="s">
        <v>127</v>
      </c>
      <c r="C358" s="41"/>
      <c r="D358" s="41"/>
      <c r="E358" s="41"/>
      <c r="F358" s="42"/>
      <c r="G358" s="51"/>
    </row>
    <row r="359" spans="1:7" ht="15" thickBot="1" x14ac:dyDescent="0.25">
      <c r="A359" s="19" t="s">
        <v>5</v>
      </c>
      <c r="B359" s="20" t="s">
        <v>6</v>
      </c>
      <c r="C359" s="21" t="s">
        <v>7</v>
      </c>
      <c r="D359" s="21" t="s">
        <v>8</v>
      </c>
      <c r="E359" s="22" t="s">
        <v>9</v>
      </c>
      <c r="F359" s="23" t="s">
        <v>10</v>
      </c>
      <c r="G359" s="51"/>
    </row>
    <row r="360" spans="1:7" ht="25.5" x14ac:dyDescent="0.2">
      <c r="A360" s="14" t="s">
        <v>11</v>
      </c>
      <c r="B360" s="3">
        <v>0.96879534589027527</v>
      </c>
      <c r="C360" s="4">
        <v>0.98</v>
      </c>
      <c r="D360" s="5" t="s">
        <v>12</v>
      </c>
      <c r="E360" s="6" t="s">
        <v>115</v>
      </c>
      <c r="F360" s="17" t="s">
        <v>14</v>
      </c>
      <c r="G360" s="51"/>
    </row>
    <row r="361" spans="1:7" x14ac:dyDescent="0.2">
      <c r="A361" s="15" t="s">
        <v>15</v>
      </c>
      <c r="B361" s="3">
        <v>6.0690068456997252E-2</v>
      </c>
      <c r="C361" s="4">
        <v>0.05</v>
      </c>
      <c r="D361" s="7" t="s">
        <v>16</v>
      </c>
      <c r="E361" s="6" t="s">
        <v>40</v>
      </c>
      <c r="F361" s="17" t="s">
        <v>18</v>
      </c>
      <c r="G361" s="51"/>
    </row>
    <row r="362" spans="1:7" x14ac:dyDescent="0.2">
      <c r="A362" s="15" t="s">
        <v>19</v>
      </c>
      <c r="B362" s="3">
        <v>0.10948900248755468</v>
      </c>
      <c r="C362" s="4">
        <v>0.1</v>
      </c>
      <c r="D362" s="7" t="s">
        <v>16</v>
      </c>
      <c r="E362" s="6" t="s">
        <v>101</v>
      </c>
      <c r="F362" s="17" t="s">
        <v>21</v>
      </c>
      <c r="G362" s="51"/>
    </row>
    <row r="363" spans="1:7" x14ac:dyDescent="0.2">
      <c r="A363" s="15" t="s">
        <v>24</v>
      </c>
      <c r="B363" s="3">
        <v>4.318892363087262E-3</v>
      </c>
      <c r="C363" s="4">
        <v>0</v>
      </c>
      <c r="D363" s="7" t="s">
        <v>12</v>
      </c>
      <c r="E363" s="6" t="s">
        <v>56</v>
      </c>
      <c r="F363" s="17">
        <v>0</v>
      </c>
      <c r="G363" s="51"/>
    </row>
    <row r="364" spans="1:7" x14ac:dyDescent="0.2">
      <c r="A364" s="15" t="s">
        <v>39</v>
      </c>
      <c r="B364" s="3">
        <v>3.6417339513061752E-3</v>
      </c>
      <c r="C364" s="4">
        <v>0</v>
      </c>
      <c r="D364" s="7" t="s">
        <v>16</v>
      </c>
      <c r="E364" s="6" t="s">
        <v>23</v>
      </c>
      <c r="F364" s="17">
        <v>0</v>
      </c>
      <c r="G364" s="51"/>
    </row>
    <row r="365" spans="1:7" x14ac:dyDescent="0.2">
      <c r="A365" s="15" t="s">
        <v>42</v>
      </c>
      <c r="B365" s="9">
        <f>SUBTOTAL(109,B360:B364)</f>
        <v>1.1469350431492207</v>
      </c>
      <c r="C365" s="10">
        <f>SUBTOTAL(109,C360:C364)</f>
        <v>1.1300000000000001</v>
      </c>
      <c r="D365" s="7"/>
      <c r="E365" s="11"/>
      <c r="F365" s="18"/>
      <c r="G365" s="51"/>
    </row>
    <row r="366" spans="1:7" ht="15" thickBot="1" x14ac:dyDescent="0.25">
      <c r="A366" s="16" t="s">
        <v>43</v>
      </c>
      <c r="B366" s="12">
        <v>0.24260137469516413</v>
      </c>
      <c r="C366" s="4">
        <v>0.28000000000000003</v>
      </c>
      <c r="D366" s="13" t="s">
        <v>12</v>
      </c>
      <c r="E366" s="6" t="s">
        <v>105</v>
      </c>
      <c r="F366" s="17" t="s">
        <v>45</v>
      </c>
      <c r="G366" s="51"/>
    </row>
    <row r="367" spans="1:7" ht="26.25" thickBot="1" x14ac:dyDescent="0.25">
      <c r="A367" s="24" t="s">
        <v>46</v>
      </c>
      <c r="B367" s="25"/>
      <c r="C367" s="26">
        <v>1.5E-3</v>
      </c>
      <c r="D367" s="25"/>
      <c r="E367" s="25"/>
      <c r="F367" s="27"/>
      <c r="G367" s="51"/>
    </row>
    <row r="368" spans="1:7" ht="15" thickBot="1" x14ac:dyDescent="0.25">
      <c r="A368" s="43" t="s">
        <v>332</v>
      </c>
      <c r="B368" s="43"/>
      <c r="C368" s="43"/>
      <c r="D368" s="43"/>
      <c r="E368" s="43"/>
      <c r="F368" s="43"/>
      <c r="G368" s="51"/>
    </row>
    <row r="369" spans="1:7" x14ac:dyDescent="0.2">
      <c r="A369" s="1" t="s">
        <v>1</v>
      </c>
      <c r="B369" s="44" t="s">
        <v>128</v>
      </c>
      <c r="C369" s="45"/>
      <c r="D369" s="45"/>
      <c r="E369" s="45"/>
      <c r="F369" s="46"/>
      <c r="G369" s="51"/>
    </row>
    <row r="370" spans="1:7" ht="15" thickBot="1" x14ac:dyDescent="0.25">
      <c r="A370" s="2" t="s">
        <v>3</v>
      </c>
      <c r="B370" s="40" t="s">
        <v>129</v>
      </c>
      <c r="C370" s="41"/>
      <c r="D370" s="41"/>
      <c r="E370" s="41"/>
      <c r="F370" s="42"/>
      <c r="G370" s="51"/>
    </row>
    <row r="371" spans="1:7" ht="15" thickBot="1" x14ac:dyDescent="0.25">
      <c r="A371" s="19" t="s">
        <v>5</v>
      </c>
      <c r="B371" s="20" t="s">
        <v>6</v>
      </c>
      <c r="C371" s="21" t="s">
        <v>7</v>
      </c>
      <c r="D371" s="21" t="s">
        <v>8</v>
      </c>
      <c r="E371" s="22" t="s">
        <v>9</v>
      </c>
      <c r="F371" s="23" t="s">
        <v>10</v>
      </c>
      <c r="G371" s="51"/>
    </row>
    <row r="372" spans="1:7" ht="25.5" x14ac:dyDescent="0.2">
      <c r="A372" s="14" t="s">
        <v>11</v>
      </c>
      <c r="B372" s="3">
        <v>3.085896047502101E-2</v>
      </c>
      <c r="C372" s="4">
        <v>0.04</v>
      </c>
      <c r="D372" s="5" t="s">
        <v>12</v>
      </c>
      <c r="E372" s="6" t="s">
        <v>40</v>
      </c>
      <c r="F372" s="17" t="s">
        <v>14</v>
      </c>
      <c r="G372" s="51"/>
    </row>
    <row r="373" spans="1:7" x14ac:dyDescent="0.2">
      <c r="A373" s="15" t="s">
        <v>15</v>
      </c>
      <c r="B373" s="3">
        <v>0.39526372365081819</v>
      </c>
      <c r="C373" s="4">
        <v>0.38</v>
      </c>
      <c r="D373" s="7" t="s">
        <v>16</v>
      </c>
      <c r="E373" s="6" t="s">
        <v>130</v>
      </c>
      <c r="F373" s="17" t="s">
        <v>18</v>
      </c>
      <c r="G373" s="51"/>
    </row>
    <row r="374" spans="1:7" x14ac:dyDescent="0.2">
      <c r="A374" s="15" t="s">
        <v>19</v>
      </c>
      <c r="B374" s="3">
        <v>8.0706376379521272E-3</v>
      </c>
      <c r="C374" s="4">
        <v>0.03</v>
      </c>
      <c r="D374" s="7" t="s">
        <v>16</v>
      </c>
      <c r="E374" s="6" t="s">
        <v>20</v>
      </c>
      <c r="F374" s="17" t="s">
        <v>21</v>
      </c>
      <c r="G374" s="51"/>
    </row>
    <row r="375" spans="1:7" ht="38.25" x14ac:dyDescent="0.2">
      <c r="A375" s="15" t="s">
        <v>24</v>
      </c>
      <c r="B375" s="3">
        <v>0.40423570103717871</v>
      </c>
      <c r="C375" s="4">
        <v>0.44</v>
      </c>
      <c r="D375" s="7" t="s">
        <v>12</v>
      </c>
      <c r="E375" s="6" t="s">
        <v>131</v>
      </c>
      <c r="F375" s="17" t="s">
        <v>26</v>
      </c>
      <c r="G375" s="51"/>
    </row>
    <row r="376" spans="1:7" x14ac:dyDescent="0.2">
      <c r="A376" s="15" t="s">
        <v>27</v>
      </c>
      <c r="B376" s="3">
        <v>5.2610525871126364E-2</v>
      </c>
      <c r="C376" s="4">
        <v>0.06</v>
      </c>
      <c r="D376" s="7" t="s">
        <v>12</v>
      </c>
      <c r="E376" s="6" t="s">
        <v>64</v>
      </c>
      <c r="F376" s="17" t="s">
        <v>29</v>
      </c>
      <c r="G376" s="51"/>
    </row>
    <row r="377" spans="1:7" x14ac:dyDescent="0.2">
      <c r="A377" s="15" t="s">
        <v>33</v>
      </c>
      <c r="B377" s="3">
        <v>1.4550158215563094E-2</v>
      </c>
      <c r="C377" s="4">
        <v>0.03</v>
      </c>
      <c r="D377" s="7" t="s">
        <v>16</v>
      </c>
      <c r="E377" s="6" t="s">
        <v>50</v>
      </c>
      <c r="F377" s="17" t="s">
        <v>34</v>
      </c>
      <c r="G377" s="51"/>
    </row>
    <row r="378" spans="1:7" x14ac:dyDescent="0.2">
      <c r="A378" s="15" t="s">
        <v>35</v>
      </c>
      <c r="B378" s="3">
        <v>2.4531155198534289E-2</v>
      </c>
      <c r="C378" s="4">
        <v>0.02</v>
      </c>
      <c r="D378" s="7" t="s">
        <v>16</v>
      </c>
      <c r="E378" s="6" t="s">
        <v>89</v>
      </c>
      <c r="F378" s="17" t="s">
        <v>36</v>
      </c>
      <c r="G378" s="51"/>
    </row>
    <row r="379" spans="1:7" x14ac:dyDescent="0.2">
      <c r="A379" s="15" t="s">
        <v>42</v>
      </c>
      <c r="B379" s="9">
        <f>SUBTOTAL(109,B372:B378)</f>
        <v>0.93012086208619382</v>
      </c>
      <c r="C379" s="10">
        <f>SUBTOTAL(109,C372:C378)</f>
        <v>1</v>
      </c>
      <c r="D379" s="7"/>
      <c r="E379" s="11"/>
      <c r="F379" s="18"/>
      <c r="G379" s="51"/>
    </row>
    <row r="380" spans="1:7" ht="15" thickBot="1" x14ac:dyDescent="0.25">
      <c r="A380" s="16" t="s">
        <v>43</v>
      </c>
      <c r="B380" s="12">
        <v>8.0948104352237593E-2</v>
      </c>
      <c r="C380" s="4">
        <v>7.0000000000000007E-2</v>
      </c>
      <c r="D380" s="13" t="s">
        <v>12</v>
      </c>
      <c r="E380" s="6" t="s">
        <v>28</v>
      </c>
      <c r="F380" s="17" t="s">
        <v>45</v>
      </c>
      <c r="G380" s="51"/>
    </row>
    <row r="381" spans="1:7" ht="26.25" thickBot="1" x14ac:dyDescent="0.25">
      <c r="A381" s="24" t="s">
        <v>46</v>
      </c>
      <c r="B381" s="25"/>
      <c r="C381" s="26">
        <v>1.8E-3</v>
      </c>
      <c r="D381" s="25"/>
      <c r="E381" s="25"/>
      <c r="F381" s="27"/>
      <c r="G381" s="51"/>
    </row>
    <row r="382" spans="1:7" ht="15" thickBot="1" x14ac:dyDescent="0.25">
      <c r="A382" s="43" t="s">
        <v>332</v>
      </c>
      <c r="B382" s="43"/>
      <c r="C382" s="43"/>
      <c r="D382" s="43"/>
      <c r="E382" s="43"/>
      <c r="F382" s="43"/>
      <c r="G382" s="51"/>
    </row>
    <row r="383" spans="1:7" x14ac:dyDescent="0.2">
      <c r="A383" s="1" t="s">
        <v>1</v>
      </c>
      <c r="B383" s="44" t="s">
        <v>132</v>
      </c>
      <c r="C383" s="45"/>
      <c r="D383" s="45"/>
      <c r="E383" s="45"/>
      <c r="F383" s="46"/>
      <c r="G383" s="51"/>
    </row>
    <row r="384" spans="1:7" ht="15" thickBot="1" x14ac:dyDescent="0.25">
      <c r="A384" s="2" t="s">
        <v>3</v>
      </c>
      <c r="B384" s="40" t="s">
        <v>133</v>
      </c>
      <c r="C384" s="41"/>
      <c r="D384" s="41"/>
      <c r="E384" s="41"/>
      <c r="F384" s="42"/>
      <c r="G384" s="51"/>
    </row>
    <row r="385" spans="1:7" ht="15" thickBot="1" x14ac:dyDescent="0.25">
      <c r="A385" s="19" t="s">
        <v>5</v>
      </c>
      <c r="B385" s="20" t="s">
        <v>6</v>
      </c>
      <c r="C385" s="21" t="s">
        <v>7</v>
      </c>
      <c r="D385" s="21" t="s">
        <v>8</v>
      </c>
      <c r="E385" s="22" t="s">
        <v>9</v>
      </c>
      <c r="F385" s="23" t="s">
        <v>10</v>
      </c>
      <c r="G385" s="51"/>
    </row>
    <row r="386" spans="1:7" x14ac:dyDescent="0.2">
      <c r="A386" s="14" t="s">
        <v>11</v>
      </c>
      <c r="B386" s="3">
        <v>3.7030586785987731E-2</v>
      </c>
      <c r="C386" s="4">
        <v>7.0000000000000007E-2</v>
      </c>
      <c r="D386" s="5" t="s">
        <v>12</v>
      </c>
      <c r="E386" s="6" t="s">
        <v>28</v>
      </c>
      <c r="F386" s="17">
        <v>0</v>
      </c>
      <c r="G386" s="51"/>
    </row>
    <row r="387" spans="1:7" x14ac:dyDescent="0.2">
      <c r="A387" s="15" t="s">
        <v>15</v>
      </c>
      <c r="B387" s="3">
        <v>0.37867725279096426</v>
      </c>
      <c r="C387" s="4">
        <v>0.36</v>
      </c>
      <c r="D387" s="7" t="s">
        <v>16</v>
      </c>
      <c r="E387" s="6" t="s">
        <v>134</v>
      </c>
      <c r="F387" s="17" t="s">
        <v>18</v>
      </c>
      <c r="G387" s="51"/>
    </row>
    <row r="388" spans="1:7" x14ac:dyDescent="0.2">
      <c r="A388" s="15" t="s">
        <v>19</v>
      </c>
      <c r="B388" s="3">
        <v>2.388758173710772E-2</v>
      </c>
      <c r="C388" s="4">
        <v>0.03</v>
      </c>
      <c r="D388" s="7" t="s">
        <v>16</v>
      </c>
      <c r="E388" s="6" t="s">
        <v>20</v>
      </c>
      <c r="F388" s="17" t="s">
        <v>21</v>
      </c>
      <c r="G388" s="51"/>
    </row>
    <row r="389" spans="1:7" ht="38.25" x14ac:dyDescent="0.2">
      <c r="A389" s="15" t="s">
        <v>24</v>
      </c>
      <c r="B389" s="3">
        <v>0.35679216066796104</v>
      </c>
      <c r="C389" s="4">
        <v>0.38</v>
      </c>
      <c r="D389" s="7" t="s">
        <v>12</v>
      </c>
      <c r="E389" s="6" t="s">
        <v>135</v>
      </c>
      <c r="F389" s="17" t="s">
        <v>26</v>
      </c>
      <c r="G389" s="51"/>
    </row>
    <row r="390" spans="1:7" x14ac:dyDescent="0.2">
      <c r="A390" s="15" t="s">
        <v>27</v>
      </c>
      <c r="B390" s="3">
        <v>9.5462818932540508E-2</v>
      </c>
      <c r="C390" s="4">
        <v>0.11</v>
      </c>
      <c r="D390" s="7" t="s">
        <v>12</v>
      </c>
      <c r="E390" s="6" t="s">
        <v>112</v>
      </c>
      <c r="F390" s="17" t="s">
        <v>29</v>
      </c>
      <c r="G390" s="51"/>
    </row>
    <row r="391" spans="1:7" x14ac:dyDescent="0.2">
      <c r="A391" s="15" t="s">
        <v>33</v>
      </c>
      <c r="B391" s="3">
        <v>1.654122853234655E-2</v>
      </c>
      <c r="C391" s="4">
        <v>0.03</v>
      </c>
      <c r="D391" s="7" t="s">
        <v>16</v>
      </c>
      <c r="E391" s="6" t="s">
        <v>50</v>
      </c>
      <c r="F391" s="17" t="s">
        <v>34</v>
      </c>
      <c r="G391" s="51"/>
    </row>
    <row r="392" spans="1:7" x14ac:dyDescent="0.2">
      <c r="A392" s="15" t="s">
        <v>35</v>
      </c>
      <c r="B392" s="3">
        <v>3.4898330561446263E-2</v>
      </c>
      <c r="C392" s="4">
        <v>0.03</v>
      </c>
      <c r="D392" s="7" t="s">
        <v>16</v>
      </c>
      <c r="E392" s="6" t="s">
        <v>50</v>
      </c>
      <c r="F392" s="17" t="s">
        <v>36</v>
      </c>
      <c r="G392" s="51"/>
    </row>
    <row r="393" spans="1:7" x14ac:dyDescent="0.2">
      <c r="A393" s="15" t="s">
        <v>37</v>
      </c>
      <c r="B393" s="3">
        <v>1.9405304902075836E-2</v>
      </c>
      <c r="C393" s="4">
        <v>0.02</v>
      </c>
      <c r="D393" s="7" t="s">
        <v>16</v>
      </c>
      <c r="E393" s="6" t="s">
        <v>89</v>
      </c>
      <c r="F393" s="17" t="s">
        <v>38</v>
      </c>
      <c r="G393" s="51"/>
    </row>
    <row r="394" spans="1:7" x14ac:dyDescent="0.2">
      <c r="A394" s="15" t="s">
        <v>42</v>
      </c>
      <c r="B394" s="9">
        <f>SUBTOTAL(109,B386:B393)</f>
        <v>0.96269526491042989</v>
      </c>
      <c r="C394" s="10">
        <f>SUBTOTAL(109,C386:C393)</f>
        <v>1.03</v>
      </c>
      <c r="D394" s="7"/>
      <c r="E394" s="11"/>
      <c r="F394" s="18"/>
      <c r="G394" s="51"/>
    </row>
    <row r="395" spans="1:7" ht="15" thickBot="1" x14ac:dyDescent="0.25">
      <c r="A395" s="16" t="s">
        <v>43</v>
      </c>
      <c r="B395" s="12">
        <v>7.3476263199218975E-2</v>
      </c>
      <c r="C395" s="4">
        <v>7.0000000000000007E-2</v>
      </c>
      <c r="D395" s="13" t="s">
        <v>12</v>
      </c>
      <c r="E395" s="6" t="s">
        <v>28</v>
      </c>
      <c r="F395" s="17" t="s">
        <v>45</v>
      </c>
      <c r="G395" s="51"/>
    </row>
    <row r="396" spans="1:7" ht="26.25" thickBot="1" x14ac:dyDescent="0.25">
      <c r="A396" s="24" t="s">
        <v>46</v>
      </c>
      <c r="B396" s="25"/>
      <c r="C396" s="26">
        <v>2E-3</v>
      </c>
      <c r="D396" s="25"/>
      <c r="E396" s="25"/>
      <c r="F396" s="27"/>
      <c r="G396" s="51"/>
    </row>
    <row r="397" spans="1:7" ht="15" thickBot="1" x14ac:dyDescent="0.25">
      <c r="A397" s="43" t="s">
        <v>332</v>
      </c>
      <c r="B397" s="43"/>
      <c r="C397" s="43"/>
      <c r="D397" s="43"/>
      <c r="E397" s="43"/>
      <c r="F397" s="43"/>
      <c r="G397" s="51"/>
    </row>
    <row r="398" spans="1:7" x14ac:dyDescent="0.2">
      <c r="A398" s="1" t="s">
        <v>1</v>
      </c>
      <c r="B398" s="44" t="s">
        <v>136</v>
      </c>
      <c r="C398" s="45"/>
      <c r="D398" s="45"/>
      <c r="E398" s="45"/>
      <c r="F398" s="46"/>
      <c r="G398" s="51"/>
    </row>
    <row r="399" spans="1:7" ht="15" thickBot="1" x14ac:dyDescent="0.25">
      <c r="A399" s="2" t="s">
        <v>3</v>
      </c>
      <c r="B399" s="40" t="s">
        <v>137</v>
      </c>
      <c r="C399" s="41"/>
      <c r="D399" s="41"/>
      <c r="E399" s="41"/>
      <c r="F399" s="42"/>
      <c r="G399" s="51"/>
    </row>
    <row r="400" spans="1:7" ht="15" thickBot="1" x14ac:dyDescent="0.25">
      <c r="A400" s="19" t="s">
        <v>5</v>
      </c>
      <c r="B400" s="20" t="s">
        <v>6</v>
      </c>
      <c r="C400" s="21" t="s">
        <v>7</v>
      </c>
      <c r="D400" s="21" t="s">
        <v>8</v>
      </c>
      <c r="E400" s="22" t="s">
        <v>9</v>
      </c>
      <c r="F400" s="23" t="s">
        <v>10</v>
      </c>
      <c r="G400" s="51"/>
    </row>
    <row r="401" spans="1:7" x14ac:dyDescent="0.2">
      <c r="A401" s="14" t="s">
        <v>11</v>
      </c>
      <c r="B401" s="3">
        <v>3.7118407624272966E-2</v>
      </c>
      <c r="C401" s="4">
        <v>7.0000000000000007E-2</v>
      </c>
      <c r="D401" s="5" t="s">
        <v>12</v>
      </c>
      <c r="E401" s="6" t="s">
        <v>28</v>
      </c>
      <c r="F401" s="17">
        <v>0</v>
      </c>
      <c r="G401" s="51"/>
    </row>
    <row r="402" spans="1:7" x14ac:dyDescent="0.2">
      <c r="A402" s="15" t="s">
        <v>15</v>
      </c>
      <c r="B402" s="3">
        <v>0.34380003210562388</v>
      </c>
      <c r="C402" s="4">
        <v>0.35</v>
      </c>
      <c r="D402" s="7" t="s">
        <v>16</v>
      </c>
      <c r="E402" s="6" t="s">
        <v>138</v>
      </c>
      <c r="F402" s="17" t="s">
        <v>18</v>
      </c>
      <c r="G402" s="51"/>
    </row>
    <row r="403" spans="1:7" x14ac:dyDescent="0.2">
      <c r="A403" s="15" t="s">
        <v>19</v>
      </c>
      <c r="B403" s="3">
        <v>2.2673885181886424E-2</v>
      </c>
      <c r="C403" s="4">
        <v>0.03</v>
      </c>
      <c r="D403" s="7" t="s">
        <v>16</v>
      </c>
      <c r="E403" s="6" t="s">
        <v>20</v>
      </c>
      <c r="F403" s="17" t="s">
        <v>21</v>
      </c>
      <c r="G403" s="51"/>
    </row>
    <row r="404" spans="1:7" ht="38.25" x14ac:dyDescent="0.2">
      <c r="A404" s="15" t="s">
        <v>24</v>
      </c>
      <c r="B404" s="3">
        <v>0.34550151195370049</v>
      </c>
      <c r="C404" s="4">
        <v>0.36</v>
      </c>
      <c r="D404" s="7" t="s">
        <v>12</v>
      </c>
      <c r="E404" s="6" t="s">
        <v>139</v>
      </c>
      <c r="F404" s="17" t="s">
        <v>26</v>
      </c>
      <c r="G404" s="51"/>
    </row>
    <row r="405" spans="1:7" x14ac:dyDescent="0.2">
      <c r="A405" s="15" t="s">
        <v>27</v>
      </c>
      <c r="B405" s="3">
        <v>0.10118805921674211</v>
      </c>
      <c r="C405" s="4">
        <v>0.11</v>
      </c>
      <c r="D405" s="7" t="s">
        <v>12</v>
      </c>
      <c r="E405" s="6" t="s">
        <v>112</v>
      </c>
      <c r="F405" s="17" t="s">
        <v>29</v>
      </c>
      <c r="G405" s="51"/>
    </row>
    <row r="406" spans="1:7" x14ac:dyDescent="0.2">
      <c r="A406" s="15" t="s">
        <v>30</v>
      </c>
      <c r="B406" s="3">
        <v>3.8112346079774019E-2</v>
      </c>
      <c r="C406" s="4">
        <v>0.04</v>
      </c>
      <c r="D406" s="7" t="s">
        <v>16</v>
      </c>
      <c r="E406" s="6" t="s">
        <v>31</v>
      </c>
      <c r="F406" s="17" t="s">
        <v>32</v>
      </c>
      <c r="G406" s="51"/>
    </row>
    <row r="407" spans="1:7" x14ac:dyDescent="0.2">
      <c r="A407" s="15" t="s">
        <v>33</v>
      </c>
      <c r="B407" s="3">
        <v>1.6475375227450934E-2</v>
      </c>
      <c r="C407" s="4">
        <v>0.03</v>
      </c>
      <c r="D407" s="7" t="s">
        <v>16</v>
      </c>
      <c r="E407" s="6" t="s">
        <v>50</v>
      </c>
      <c r="F407" s="17" t="s">
        <v>34</v>
      </c>
      <c r="G407" s="51"/>
    </row>
    <row r="408" spans="1:7" x14ac:dyDescent="0.2">
      <c r="A408" s="15" t="s">
        <v>35</v>
      </c>
      <c r="B408" s="3">
        <v>3.4339120845278598E-2</v>
      </c>
      <c r="C408" s="4">
        <v>0.03</v>
      </c>
      <c r="D408" s="7" t="s">
        <v>16</v>
      </c>
      <c r="E408" s="6" t="s">
        <v>50</v>
      </c>
      <c r="F408" s="17" t="s">
        <v>36</v>
      </c>
      <c r="G408" s="51"/>
    </row>
    <row r="409" spans="1:7" x14ac:dyDescent="0.2">
      <c r="A409" s="15" t="s">
        <v>37</v>
      </c>
      <c r="B409" s="3">
        <v>2.0025876554492714E-2</v>
      </c>
      <c r="C409" s="4">
        <v>0.02</v>
      </c>
      <c r="D409" s="7" t="s">
        <v>16</v>
      </c>
      <c r="E409" s="6" t="s">
        <v>89</v>
      </c>
      <c r="F409" s="17" t="s">
        <v>38</v>
      </c>
      <c r="G409" s="51"/>
    </row>
    <row r="410" spans="1:7" x14ac:dyDescent="0.2">
      <c r="A410" s="15" t="s">
        <v>42</v>
      </c>
      <c r="B410" s="9">
        <f>SUBTOTAL(109,B401:B409)</f>
        <v>0.95923461478922212</v>
      </c>
      <c r="C410" s="10">
        <f>SUBTOTAL(109,C401:C409)</f>
        <v>1.04</v>
      </c>
      <c r="D410" s="7"/>
      <c r="E410" s="11"/>
      <c r="F410" s="18"/>
      <c r="G410" s="51"/>
    </row>
    <row r="411" spans="1:7" ht="15" thickBot="1" x14ac:dyDescent="0.25">
      <c r="A411" s="16" t="s">
        <v>43</v>
      </c>
      <c r="B411" s="12">
        <v>7.2755484993254543E-2</v>
      </c>
      <c r="C411" s="4">
        <v>7.0000000000000007E-2</v>
      </c>
      <c r="D411" s="13" t="s">
        <v>12</v>
      </c>
      <c r="E411" s="6" t="s">
        <v>28</v>
      </c>
      <c r="F411" s="17" t="s">
        <v>45</v>
      </c>
      <c r="G411" s="51"/>
    </row>
    <row r="412" spans="1:7" ht="26.25" thickBot="1" x14ac:dyDescent="0.25">
      <c r="A412" s="24" t="s">
        <v>46</v>
      </c>
      <c r="B412" s="25"/>
      <c r="C412" s="26">
        <v>2E-3</v>
      </c>
      <c r="D412" s="25"/>
      <c r="E412" s="25"/>
      <c r="F412" s="27"/>
      <c r="G412" s="51"/>
    </row>
    <row r="413" spans="1:7" ht="15" thickBot="1" x14ac:dyDescent="0.25">
      <c r="A413" s="43" t="s">
        <v>332</v>
      </c>
      <c r="B413" s="43"/>
      <c r="C413" s="43"/>
      <c r="D413" s="43"/>
      <c r="E413" s="43"/>
      <c r="F413" s="43"/>
      <c r="G413" s="51"/>
    </row>
    <row r="414" spans="1:7" x14ac:dyDescent="0.2">
      <c r="A414" s="1" t="s">
        <v>1</v>
      </c>
      <c r="B414" s="44" t="s">
        <v>140</v>
      </c>
      <c r="C414" s="45"/>
      <c r="D414" s="45"/>
      <c r="E414" s="45"/>
      <c r="F414" s="46"/>
      <c r="G414" s="51"/>
    </row>
    <row r="415" spans="1:7" ht="15" thickBot="1" x14ac:dyDescent="0.25">
      <c r="A415" s="2" t="s">
        <v>3</v>
      </c>
      <c r="B415" s="40" t="s">
        <v>141</v>
      </c>
      <c r="C415" s="41"/>
      <c r="D415" s="41"/>
      <c r="E415" s="41"/>
      <c r="F415" s="42"/>
      <c r="G415" s="51"/>
    </row>
    <row r="416" spans="1:7" ht="15" thickBot="1" x14ac:dyDescent="0.25">
      <c r="A416" s="19" t="s">
        <v>5</v>
      </c>
      <c r="B416" s="20" t="s">
        <v>6</v>
      </c>
      <c r="C416" s="21" t="s">
        <v>7</v>
      </c>
      <c r="D416" s="21" t="s">
        <v>8</v>
      </c>
      <c r="E416" s="22" t="s">
        <v>9</v>
      </c>
      <c r="F416" s="23" t="s">
        <v>10</v>
      </c>
      <c r="G416" s="51"/>
    </row>
    <row r="417" spans="1:7" x14ac:dyDescent="0.2">
      <c r="A417" s="14" t="s">
        <v>11</v>
      </c>
      <c r="B417" s="3">
        <v>3.5611170288079995E-2</v>
      </c>
      <c r="C417" s="4">
        <v>7.0000000000000007E-2</v>
      </c>
      <c r="D417" s="5" t="s">
        <v>12</v>
      </c>
      <c r="E417" s="6" t="s">
        <v>28</v>
      </c>
      <c r="F417" s="17">
        <v>0</v>
      </c>
      <c r="G417" s="51"/>
    </row>
    <row r="418" spans="1:7" x14ac:dyDescent="0.2">
      <c r="A418" s="15" t="s">
        <v>15</v>
      </c>
      <c r="B418" s="3">
        <v>0.20207240215922423</v>
      </c>
      <c r="C418" s="4">
        <v>0.19</v>
      </c>
      <c r="D418" s="7" t="s">
        <v>16</v>
      </c>
      <c r="E418" s="6" t="s">
        <v>142</v>
      </c>
      <c r="F418" s="17" t="s">
        <v>18</v>
      </c>
      <c r="G418" s="51"/>
    </row>
    <row r="419" spans="1:7" x14ac:dyDescent="0.2">
      <c r="A419" s="15" t="s">
        <v>19</v>
      </c>
      <c r="B419" s="3">
        <v>2.0074205649424765E-2</v>
      </c>
      <c r="C419" s="4">
        <v>0.03</v>
      </c>
      <c r="D419" s="7" t="s">
        <v>16</v>
      </c>
      <c r="E419" s="6" t="s">
        <v>20</v>
      </c>
      <c r="F419" s="17" t="s">
        <v>21</v>
      </c>
      <c r="G419" s="51"/>
    </row>
    <row r="420" spans="1:7" x14ac:dyDescent="0.2">
      <c r="A420" s="15" t="s">
        <v>22</v>
      </c>
      <c r="B420" s="3">
        <v>0.2753818782892743</v>
      </c>
      <c r="C420" s="4">
        <v>0.28000000000000003</v>
      </c>
      <c r="D420" s="7" t="s">
        <v>16</v>
      </c>
      <c r="E420" s="6" t="s">
        <v>78</v>
      </c>
      <c r="F420" s="17" t="s">
        <v>79</v>
      </c>
      <c r="G420" s="51"/>
    </row>
    <row r="421" spans="1:7" ht="38.25" x14ac:dyDescent="0.2">
      <c r="A421" s="15" t="s">
        <v>24</v>
      </c>
      <c r="B421" s="3">
        <v>0.31461706402758532</v>
      </c>
      <c r="C421" s="4">
        <v>0.31</v>
      </c>
      <c r="D421" s="7" t="s">
        <v>12</v>
      </c>
      <c r="E421" s="6" t="s">
        <v>143</v>
      </c>
      <c r="F421" s="17" t="s">
        <v>26</v>
      </c>
      <c r="G421" s="51"/>
    </row>
    <row r="422" spans="1:7" x14ac:dyDescent="0.2">
      <c r="A422" s="15" t="s">
        <v>27</v>
      </c>
      <c r="B422" s="3">
        <v>8.7937087049998322E-2</v>
      </c>
      <c r="C422" s="4">
        <v>0.11</v>
      </c>
      <c r="D422" s="7" t="s">
        <v>12</v>
      </c>
      <c r="E422" s="6" t="s">
        <v>112</v>
      </c>
      <c r="F422" s="17" t="s">
        <v>29</v>
      </c>
      <c r="G422" s="51"/>
    </row>
    <row r="423" spans="1:7" x14ac:dyDescent="0.2">
      <c r="A423" s="15" t="s">
        <v>33</v>
      </c>
      <c r="B423" s="3">
        <v>1.5540661427353438E-2</v>
      </c>
      <c r="C423" s="4">
        <v>0.02</v>
      </c>
      <c r="D423" s="7" t="s">
        <v>16</v>
      </c>
      <c r="E423" s="6" t="s">
        <v>89</v>
      </c>
      <c r="F423" s="17" t="s">
        <v>34</v>
      </c>
      <c r="G423" s="51"/>
    </row>
    <row r="424" spans="1:7" x14ac:dyDescent="0.2">
      <c r="A424" s="15" t="s">
        <v>35</v>
      </c>
      <c r="B424" s="3">
        <v>2.2226178413854984E-2</v>
      </c>
      <c r="C424" s="4">
        <v>0.02</v>
      </c>
      <c r="D424" s="7" t="s">
        <v>16</v>
      </c>
      <c r="E424" s="6" t="s">
        <v>89</v>
      </c>
      <c r="F424" s="17" t="s">
        <v>36</v>
      </c>
      <c r="G424" s="51"/>
    </row>
    <row r="425" spans="1:7" x14ac:dyDescent="0.2">
      <c r="A425" s="15" t="s">
        <v>42</v>
      </c>
      <c r="B425" s="9">
        <f>SUBTOTAL(109,B417:B424)</f>
        <v>0.97346064730479553</v>
      </c>
      <c r="C425" s="10">
        <f>SUBTOTAL(109,C417:C424)</f>
        <v>1.03</v>
      </c>
      <c r="D425" s="7"/>
      <c r="E425" s="11"/>
      <c r="F425" s="18"/>
      <c r="G425" s="51"/>
    </row>
    <row r="426" spans="1:7" ht="15" thickBot="1" x14ac:dyDescent="0.25">
      <c r="A426" s="16" t="s">
        <v>43</v>
      </c>
      <c r="B426" s="12">
        <v>7.623184342402399E-2</v>
      </c>
      <c r="C426" s="4">
        <v>7.0000000000000007E-2</v>
      </c>
      <c r="D426" s="13" t="s">
        <v>12</v>
      </c>
      <c r="E426" s="6" t="s">
        <v>28</v>
      </c>
      <c r="F426" s="17" t="s">
        <v>45</v>
      </c>
      <c r="G426" s="51"/>
    </row>
    <row r="427" spans="1:7" ht="26.25" thickBot="1" x14ac:dyDescent="0.25">
      <c r="A427" s="24" t="s">
        <v>46</v>
      </c>
      <c r="B427" s="25"/>
      <c r="C427" s="26">
        <v>2E-3</v>
      </c>
      <c r="D427" s="25"/>
      <c r="E427" s="25"/>
      <c r="F427" s="27"/>
      <c r="G427" s="51"/>
    </row>
    <row r="428" spans="1:7" ht="15" thickBot="1" x14ac:dyDescent="0.25">
      <c r="A428" s="43" t="s">
        <v>332</v>
      </c>
      <c r="B428" s="43"/>
      <c r="C428" s="43"/>
      <c r="D428" s="43"/>
      <c r="E428" s="43"/>
      <c r="F428" s="43"/>
      <c r="G428" s="51"/>
    </row>
    <row r="429" spans="1:7" x14ac:dyDescent="0.2">
      <c r="A429" s="1" t="s">
        <v>1</v>
      </c>
      <c r="B429" s="44" t="s">
        <v>144</v>
      </c>
      <c r="C429" s="45"/>
      <c r="D429" s="45"/>
      <c r="E429" s="45"/>
      <c r="F429" s="46"/>
      <c r="G429" s="51"/>
    </row>
    <row r="430" spans="1:7" ht="15" thickBot="1" x14ac:dyDescent="0.25">
      <c r="A430" s="2" t="s">
        <v>3</v>
      </c>
      <c r="B430" s="40" t="s">
        <v>145</v>
      </c>
      <c r="C430" s="41"/>
      <c r="D430" s="41"/>
      <c r="E430" s="41"/>
      <c r="F430" s="42"/>
      <c r="G430" s="51"/>
    </row>
    <row r="431" spans="1:7" ht="15" thickBot="1" x14ac:dyDescent="0.25">
      <c r="A431" s="19" t="s">
        <v>5</v>
      </c>
      <c r="B431" s="20" t="s">
        <v>6</v>
      </c>
      <c r="C431" s="21" t="s">
        <v>7</v>
      </c>
      <c r="D431" s="21" t="s">
        <v>8</v>
      </c>
      <c r="E431" s="22" t="s">
        <v>9</v>
      </c>
      <c r="F431" s="23" t="s">
        <v>10</v>
      </c>
      <c r="G431" s="51"/>
    </row>
    <row r="432" spans="1:7" x14ac:dyDescent="0.2">
      <c r="A432" s="14" t="s">
        <v>11</v>
      </c>
      <c r="B432" s="3">
        <v>0</v>
      </c>
      <c r="C432" s="4">
        <v>0</v>
      </c>
      <c r="D432" s="5" t="s">
        <v>12</v>
      </c>
      <c r="E432" s="6" t="s">
        <v>56</v>
      </c>
      <c r="F432" s="17">
        <v>0</v>
      </c>
      <c r="G432" s="51"/>
    </row>
    <row r="433" spans="1:7" x14ac:dyDescent="0.2">
      <c r="A433" s="15" t="s">
        <v>15</v>
      </c>
      <c r="B433" s="3">
        <v>0.51628518246128463</v>
      </c>
      <c r="C433" s="4">
        <v>0.5</v>
      </c>
      <c r="D433" s="7" t="s">
        <v>16</v>
      </c>
      <c r="E433" s="6" t="s">
        <v>146</v>
      </c>
      <c r="F433" s="17" t="s">
        <v>18</v>
      </c>
      <c r="G433" s="51"/>
    </row>
    <row r="434" spans="1:7" x14ac:dyDescent="0.2">
      <c r="A434" s="15" t="s">
        <v>19</v>
      </c>
      <c r="B434" s="3">
        <v>1.4845856041018407E-2</v>
      </c>
      <c r="C434" s="4">
        <v>0.03</v>
      </c>
      <c r="D434" s="7" t="s">
        <v>16</v>
      </c>
      <c r="E434" s="6" t="s">
        <v>20</v>
      </c>
      <c r="F434" s="17" t="s">
        <v>21</v>
      </c>
      <c r="G434" s="51"/>
    </row>
    <row r="435" spans="1:7" ht="38.25" x14ac:dyDescent="0.2">
      <c r="A435" s="15" t="s">
        <v>24</v>
      </c>
      <c r="B435" s="3">
        <v>0.37128317936848987</v>
      </c>
      <c r="C435" s="4">
        <v>0.33</v>
      </c>
      <c r="D435" s="7" t="s">
        <v>12</v>
      </c>
      <c r="E435" s="6" t="s">
        <v>147</v>
      </c>
      <c r="F435" s="17" t="s">
        <v>26</v>
      </c>
      <c r="G435" s="51"/>
    </row>
    <row r="436" spans="1:7" x14ac:dyDescent="0.2">
      <c r="A436" s="15" t="s">
        <v>27</v>
      </c>
      <c r="B436" s="3">
        <v>6.5030465085784778E-2</v>
      </c>
      <c r="C436" s="4">
        <v>0.09</v>
      </c>
      <c r="D436" s="7" t="s">
        <v>12</v>
      </c>
      <c r="E436" s="6" t="s">
        <v>55</v>
      </c>
      <c r="F436" s="17" t="s">
        <v>29</v>
      </c>
      <c r="G436" s="51"/>
    </row>
    <row r="437" spans="1:7" x14ac:dyDescent="0.2">
      <c r="A437" s="15" t="s">
        <v>42</v>
      </c>
      <c r="B437" s="9">
        <f>SUBTOTAL(109,B432:B436)</f>
        <v>0.96744468295657771</v>
      </c>
      <c r="C437" s="10">
        <f>SUBTOTAL(109,C432:C436)</f>
        <v>0.95000000000000007</v>
      </c>
      <c r="D437" s="7"/>
      <c r="E437" s="11"/>
      <c r="F437" s="18"/>
      <c r="G437" s="51"/>
    </row>
    <row r="438" spans="1:7" ht="15" thickBot="1" x14ac:dyDescent="0.25">
      <c r="A438" s="16" t="s">
        <v>43</v>
      </c>
      <c r="B438" s="12">
        <v>3.9710022543597907E-2</v>
      </c>
      <c r="C438" s="4">
        <v>0.05</v>
      </c>
      <c r="D438" s="13" t="s">
        <v>12</v>
      </c>
      <c r="E438" s="6" t="s">
        <v>88</v>
      </c>
      <c r="F438" s="17" t="s">
        <v>45</v>
      </c>
      <c r="G438" s="51"/>
    </row>
    <row r="439" spans="1:7" ht="26.25" thickBot="1" x14ac:dyDescent="0.25">
      <c r="A439" s="24" t="s">
        <v>46</v>
      </c>
      <c r="B439" s="25"/>
      <c r="C439" s="26">
        <v>1E-3</v>
      </c>
      <c r="D439" s="25"/>
      <c r="E439" s="25"/>
      <c r="F439" s="27"/>
      <c r="G439" s="51"/>
    </row>
    <row r="440" spans="1:7" ht="15" thickBot="1" x14ac:dyDescent="0.25">
      <c r="A440" s="43" t="s">
        <v>332</v>
      </c>
      <c r="B440" s="43"/>
      <c r="C440" s="43"/>
      <c r="D440" s="43"/>
      <c r="E440" s="43"/>
      <c r="F440" s="43"/>
      <c r="G440" s="51"/>
    </row>
    <row r="441" spans="1:7" x14ac:dyDescent="0.2">
      <c r="A441" s="1" t="s">
        <v>1</v>
      </c>
      <c r="B441" s="44" t="s">
        <v>148</v>
      </c>
      <c r="C441" s="45"/>
      <c r="D441" s="45"/>
      <c r="E441" s="45"/>
      <c r="F441" s="46"/>
      <c r="G441" s="51"/>
    </row>
    <row r="442" spans="1:7" ht="15" thickBot="1" x14ac:dyDescent="0.25">
      <c r="A442" s="2" t="s">
        <v>3</v>
      </c>
      <c r="B442" s="40" t="s">
        <v>149</v>
      </c>
      <c r="C442" s="41"/>
      <c r="D442" s="41"/>
      <c r="E442" s="41"/>
      <c r="F442" s="42"/>
      <c r="G442" s="51"/>
    </row>
    <row r="443" spans="1:7" ht="15" thickBot="1" x14ac:dyDescent="0.25">
      <c r="A443" s="19" t="s">
        <v>5</v>
      </c>
      <c r="B443" s="20" t="s">
        <v>6</v>
      </c>
      <c r="C443" s="21" t="s">
        <v>7</v>
      </c>
      <c r="D443" s="21" t="s">
        <v>8</v>
      </c>
      <c r="E443" s="22" t="s">
        <v>9</v>
      </c>
      <c r="F443" s="23" t="s">
        <v>10</v>
      </c>
      <c r="G443" s="51"/>
    </row>
    <row r="444" spans="1:7" x14ac:dyDescent="0.2">
      <c r="A444" s="14" t="s">
        <v>11</v>
      </c>
      <c r="B444" s="3">
        <v>3.650803041936216E-2</v>
      </c>
      <c r="C444" s="4">
        <v>7.0000000000000007E-2</v>
      </c>
      <c r="D444" s="5" t="s">
        <v>12</v>
      </c>
      <c r="E444" s="6" t="s">
        <v>28</v>
      </c>
      <c r="F444" s="17">
        <v>0</v>
      </c>
      <c r="G444" s="51"/>
    </row>
    <row r="445" spans="1:7" x14ac:dyDescent="0.2">
      <c r="A445" s="15" t="s">
        <v>15</v>
      </c>
      <c r="B445" s="3">
        <v>0.3918778779642188</v>
      </c>
      <c r="C445" s="4">
        <v>0.41</v>
      </c>
      <c r="D445" s="7" t="s">
        <v>16</v>
      </c>
      <c r="E445" s="6" t="s">
        <v>150</v>
      </c>
      <c r="F445" s="17" t="s">
        <v>18</v>
      </c>
      <c r="G445" s="51"/>
    </row>
    <row r="446" spans="1:7" x14ac:dyDescent="0.2">
      <c r="A446" s="15" t="s">
        <v>19</v>
      </c>
      <c r="B446" s="3">
        <v>2.3306115276328459E-2</v>
      </c>
      <c r="C446" s="4">
        <v>0.03</v>
      </c>
      <c r="D446" s="7" t="s">
        <v>16</v>
      </c>
      <c r="E446" s="6" t="s">
        <v>20</v>
      </c>
      <c r="F446" s="17" t="s">
        <v>21</v>
      </c>
      <c r="G446" s="51"/>
    </row>
    <row r="447" spans="1:7" ht="38.25" x14ac:dyDescent="0.2">
      <c r="A447" s="15" t="s">
        <v>24</v>
      </c>
      <c r="B447" s="3">
        <v>0.33606395585635557</v>
      </c>
      <c r="C447" s="4">
        <v>0.37</v>
      </c>
      <c r="D447" s="7" t="s">
        <v>12</v>
      </c>
      <c r="E447" s="6" t="s">
        <v>151</v>
      </c>
      <c r="F447" s="17" t="s">
        <v>26</v>
      </c>
      <c r="G447" s="51"/>
    </row>
    <row r="448" spans="1:7" x14ac:dyDescent="0.2">
      <c r="A448" s="15" t="s">
        <v>27</v>
      </c>
      <c r="B448" s="3">
        <v>8.138900262241254E-2</v>
      </c>
      <c r="C448" s="4">
        <v>7.0000000000000007E-2</v>
      </c>
      <c r="D448" s="7" t="s">
        <v>12</v>
      </c>
      <c r="E448" s="6" t="s">
        <v>28</v>
      </c>
      <c r="F448" s="17" t="s">
        <v>29</v>
      </c>
      <c r="G448" s="51"/>
    </row>
    <row r="449" spans="1:7" x14ac:dyDescent="0.2">
      <c r="A449" s="15" t="s">
        <v>30</v>
      </c>
      <c r="B449" s="3">
        <v>3.2639080133266461E-2</v>
      </c>
      <c r="C449" s="4">
        <v>0.04</v>
      </c>
      <c r="D449" s="7" t="s">
        <v>16</v>
      </c>
      <c r="E449" s="6" t="s">
        <v>31</v>
      </c>
      <c r="F449" s="17" t="s">
        <v>32</v>
      </c>
      <c r="G449" s="51"/>
    </row>
    <row r="450" spans="1:7" x14ac:dyDescent="0.2">
      <c r="A450" s="15" t="s">
        <v>33</v>
      </c>
      <c r="B450" s="3">
        <v>1.56263314720998E-2</v>
      </c>
      <c r="C450" s="4">
        <v>0.02</v>
      </c>
      <c r="D450" s="7" t="s">
        <v>16</v>
      </c>
      <c r="E450" s="6" t="s">
        <v>89</v>
      </c>
      <c r="F450" s="17" t="s">
        <v>34</v>
      </c>
      <c r="G450" s="51"/>
    </row>
    <row r="451" spans="1:7" x14ac:dyDescent="0.2">
      <c r="A451" s="15" t="s">
        <v>35</v>
      </c>
      <c r="B451" s="3">
        <v>3.1842904964700602E-2</v>
      </c>
      <c r="C451" s="4">
        <v>0.02</v>
      </c>
      <c r="D451" s="7" t="s">
        <v>16</v>
      </c>
      <c r="E451" s="6" t="s">
        <v>89</v>
      </c>
      <c r="F451" s="17" t="s">
        <v>36</v>
      </c>
      <c r="G451" s="51"/>
    </row>
    <row r="452" spans="1:7" x14ac:dyDescent="0.2">
      <c r="A452" s="15" t="s">
        <v>42</v>
      </c>
      <c r="B452" s="9">
        <f>SUBTOTAL(109,B444:B451)</f>
        <v>0.94925329870874431</v>
      </c>
      <c r="C452" s="10">
        <f>SUBTOTAL(109,C444:C451)</f>
        <v>1.03</v>
      </c>
      <c r="D452" s="7"/>
      <c r="E452" s="11"/>
      <c r="F452" s="18"/>
      <c r="G452" s="51"/>
    </row>
    <row r="453" spans="1:7" ht="15" thickBot="1" x14ac:dyDescent="0.25">
      <c r="A453" s="16" t="s">
        <v>43</v>
      </c>
      <c r="B453" s="12">
        <v>7.6305644841268311E-2</v>
      </c>
      <c r="C453" s="4">
        <v>7.0000000000000007E-2</v>
      </c>
      <c r="D453" s="13" t="s">
        <v>12</v>
      </c>
      <c r="E453" s="6" t="s">
        <v>28</v>
      </c>
      <c r="F453" s="17" t="s">
        <v>45</v>
      </c>
      <c r="G453" s="51"/>
    </row>
    <row r="454" spans="1:7" ht="26.25" thickBot="1" x14ac:dyDescent="0.25">
      <c r="A454" s="24" t="s">
        <v>46</v>
      </c>
      <c r="B454" s="25"/>
      <c r="C454" s="26">
        <v>1.8E-3</v>
      </c>
      <c r="D454" s="25"/>
      <c r="E454" s="25"/>
      <c r="F454" s="27"/>
      <c r="G454" s="51"/>
    </row>
    <row r="455" spans="1:7" ht="15" thickBot="1" x14ac:dyDescent="0.25">
      <c r="A455" s="43" t="s">
        <v>332</v>
      </c>
      <c r="B455" s="43"/>
      <c r="C455" s="43"/>
      <c r="D455" s="43"/>
      <c r="E455" s="43"/>
      <c r="F455" s="43"/>
      <c r="G455" s="51"/>
    </row>
    <row r="456" spans="1:7" x14ac:dyDescent="0.2">
      <c r="A456" s="1" t="s">
        <v>1</v>
      </c>
      <c r="B456" s="44" t="s">
        <v>152</v>
      </c>
      <c r="C456" s="45"/>
      <c r="D456" s="45"/>
      <c r="E456" s="45"/>
      <c r="F456" s="46"/>
      <c r="G456" s="51"/>
    </row>
    <row r="457" spans="1:7" ht="15" thickBot="1" x14ac:dyDescent="0.25">
      <c r="A457" s="2" t="s">
        <v>3</v>
      </c>
      <c r="B457" s="40" t="s">
        <v>153</v>
      </c>
      <c r="C457" s="41"/>
      <c r="D457" s="41"/>
      <c r="E457" s="41"/>
      <c r="F457" s="42"/>
      <c r="G457" s="51"/>
    </row>
    <row r="458" spans="1:7" ht="15" thickBot="1" x14ac:dyDescent="0.25">
      <c r="A458" s="19" t="s">
        <v>5</v>
      </c>
      <c r="B458" s="20" t="s">
        <v>6</v>
      </c>
      <c r="C458" s="21" t="s">
        <v>7</v>
      </c>
      <c r="D458" s="21" t="s">
        <v>8</v>
      </c>
      <c r="E458" s="22" t="s">
        <v>9</v>
      </c>
      <c r="F458" s="23" t="s">
        <v>10</v>
      </c>
      <c r="G458" s="51"/>
    </row>
    <row r="459" spans="1:7" ht="25.5" x14ac:dyDescent="0.2">
      <c r="A459" s="14" t="s">
        <v>11</v>
      </c>
      <c r="B459" s="3">
        <v>0.24040538310487575</v>
      </c>
      <c r="C459" s="4">
        <v>0.19</v>
      </c>
      <c r="D459" s="5" t="s">
        <v>12</v>
      </c>
      <c r="E459" s="6" t="s">
        <v>44</v>
      </c>
      <c r="F459" s="17" t="s">
        <v>14</v>
      </c>
      <c r="G459" s="51"/>
    </row>
    <row r="460" spans="1:7" x14ac:dyDescent="0.2">
      <c r="A460" s="15" t="s">
        <v>15</v>
      </c>
      <c r="B460" s="3">
        <v>0.30361247500245103</v>
      </c>
      <c r="C460" s="4">
        <v>0.3</v>
      </c>
      <c r="D460" s="7" t="s">
        <v>16</v>
      </c>
      <c r="E460" s="6" t="s">
        <v>97</v>
      </c>
      <c r="F460" s="17" t="s">
        <v>18</v>
      </c>
      <c r="G460" s="51"/>
    </row>
    <row r="461" spans="1:7" x14ac:dyDescent="0.2">
      <c r="A461" s="15" t="s">
        <v>19</v>
      </c>
      <c r="B461" s="3">
        <v>7.3359525741349046E-2</v>
      </c>
      <c r="C461" s="4">
        <v>0.1</v>
      </c>
      <c r="D461" s="7" t="s">
        <v>16</v>
      </c>
      <c r="E461" s="6" t="s">
        <v>101</v>
      </c>
      <c r="F461" s="17" t="s">
        <v>21</v>
      </c>
      <c r="G461" s="51"/>
    </row>
    <row r="462" spans="1:7" ht="38.25" x14ac:dyDescent="0.2">
      <c r="A462" s="15" t="s">
        <v>24</v>
      </c>
      <c r="B462" s="3">
        <v>0.27479843796039671</v>
      </c>
      <c r="C462" s="4">
        <v>0.28000000000000003</v>
      </c>
      <c r="D462" s="7" t="s">
        <v>12</v>
      </c>
      <c r="E462" s="6" t="s">
        <v>105</v>
      </c>
      <c r="F462" s="17" t="s">
        <v>26</v>
      </c>
      <c r="G462" s="51"/>
    </row>
    <row r="463" spans="1:7" x14ac:dyDescent="0.2">
      <c r="A463" s="15" t="s">
        <v>27</v>
      </c>
      <c r="B463" s="3">
        <v>8.5035857770830392E-2</v>
      </c>
      <c r="C463" s="4">
        <v>0.1</v>
      </c>
      <c r="D463" s="7" t="s">
        <v>12</v>
      </c>
      <c r="E463" s="6" t="s">
        <v>154</v>
      </c>
      <c r="F463" s="17" t="s">
        <v>29</v>
      </c>
      <c r="G463" s="51"/>
    </row>
    <row r="464" spans="1:7" x14ac:dyDescent="0.2">
      <c r="A464" s="15" t="s">
        <v>30</v>
      </c>
      <c r="B464" s="3">
        <v>3.8970158484248993E-2</v>
      </c>
      <c r="C464" s="4">
        <v>0.04</v>
      </c>
      <c r="D464" s="7" t="s">
        <v>16</v>
      </c>
      <c r="E464" s="6" t="s">
        <v>31</v>
      </c>
      <c r="F464" s="17" t="s">
        <v>32</v>
      </c>
      <c r="G464" s="51"/>
    </row>
    <row r="465" spans="1:7" x14ac:dyDescent="0.2">
      <c r="A465" s="15" t="s">
        <v>33</v>
      </c>
      <c r="B465" s="3">
        <v>2.5898292163167132E-2</v>
      </c>
      <c r="C465" s="4">
        <v>0.03</v>
      </c>
      <c r="D465" s="7" t="s">
        <v>16</v>
      </c>
      <c r="E465" s="6" t="s">
        <v>50</v>
      </c>
      <c r="F465" s="17" t="s">
        <v>34</v>
      </c>
      <c r="G465" s="51"/>
    </row>
    <row r="466" spans="1:7" x14ac:dyDescent="0.2">
      <c r="A466" s="15" t="s">
        <v>35</v>
      </c>
      <c r="B466" s="3">
        <v>2.8111225703530647E-2</v>
      </c>
      <c r="C466" s="4">
        <v>0.02</v>
      </c>
      <c r="D466" s="7" t="s">
        <v>16</v>
      </c>
      <c r="E466" s="6" t="s">
        <v>89</v>
      </c>
      <c r="F466" s="17" t="s">
        <v>36</v>
      </c>
      <c r="G466" s="51"/>
    </row>
    <row r="467" spans="1:7" x14ac:dyDescent="0.2">
      <c r="A467" s="15" t="s">
        <v>37</v>
      </c>
      <c r="B467" s="3">
        <v>3.652294338740756E-2</v>
      </c>
      <c r="C467" s="4">
        <v>0.03</v>
      </c>
      <c r="D467" s="7" t="s">
        <v>16</v>
      </c>
      <c r="E467" s="6" t="s">
        <v>50</v>
      </c>
      <c r="F467" s="17">
        <v>0</v>
      </c>
      <c r="G467" s="51"/>
    </row>
    <row r="468" spans="1:7" x14ac:dyDescent="0.2">
      <c r="A468" s="15" t="s">
        <v>42</v>
      </c>
      <c r="B468" s="9">
        <f>SUBTOTAL(109,B459:B467)</f>
        <v>1.1067142993182573</v>
      </c>
      <c r="C468" s="10">
        <f>SUBTOTAL(109,C459:C467)</f>
        <v>1.0900000000000001</v>
      </c>
      <c r="D468" s="7"/>
      <c r="E468" s="11"/>
      <c r="F468" s="18"/>
      <c r="G468" s="51"/>
    </row>
    <row r="469" spans="1:7" ht="15" thickBot="1" x14ac:dyDescent="0.25">
      <c r="A469" s="16" t="s">
        <v>43</v>
      </c>
      <c r="B469" s="12">
        <v>0.13676447076503936</v>
      </c>
      <c r="C469" s="4">
        <v>0.13</v>
      </c>
      <c r="D469" s="13" t="s">
        <v>12</v>
      </c>
      <c r="E469" s="6" t="s">
        <v>155</v>
      </c>
      <c r="F469" s="17" t="s">
        <v>45</v>
      </c>
      <c r="G469" s="51"/>
    </row>
    <row r="470" spans="1:7" ht="26.25" thickBot="1" x14ac:dyDescent="0.25">
      <c r="A470" s="24" t="s">
        <v>46</v>
      </c>
      <c r="B470" s="25"/>
      <c r="C470" s="26">
        <v>2.3999999999999998E-3</v>
      </c>
      <c r="D470" s="25"/>
      <c r="E470" s="25"/>
      <c r="F470" s="27"/>
      <c r="G470" s="51"/>
    </row>
    <row r="471" spans="1:7" ht="15" thickBot="1" x14ac:dyDescent="0.25">
      <c r="A471" s="43" t="s">
        <v>332</v>
      </c>
      <c r="B471" s="43"/>
      <c r="C471" s="43"/>
      <c r="D471" s="43"/>
      <c r="E471" s="43"/>
      <c r="F471" s="43"/>
      <c r="G471" s="51"/>
    </row>
    <row r="472" spans="1:7" x14ac:dyDescent="0.2">
      <c r="A472" s="1" t="s">
        <v>1</v>
      </c>
      <c r="B472" s="44" t="s">
        <v>156</v>
      </c>
      <c r="C472" s="45"/>
      <c r="D472" s="45"/>
      <c r="E472" s="45"/>
      <c r="F472" s="46"/>
      <c r="G472" s="51"/>
    </row>
    <row r="473" spans="1:7" ht="15" thickBot="1" x14ac:dyDescent="0.25">
      <c r="A473" s="2" t="s">
        <v>3</v>
      </c>
      <c r="B473" s="40" t="s">
        <v>157</v>
      </c>
      <c r="C473" s="41"/>
      <c r="D473" s="41"/>
      <c r="E473" s="41"/>
      <c r="F473" s="42"/>
      <c r="G473" s="51"/>
    </row>
    <row r="474" spans="1:7" ht="15" thickBot="1" x14ac:dyDescent="0.25">
      <c r="A474" s="19" t="s">
        <v>5</v>
      </c>
      <c r="B474" s="20" t="s">
        <v>6</v>
      </c>
      <c r="C474" s="21" t="s">
        <v>7</v>
      </c>
      <c r="D474" s="21" t="s">
        <v>8</v>
      </c>
      <c r="E474" s="22" t="s">
        <v>9</v>
      </c>
      <c r="F474" s="23" t="s">
        <v>10</v>
      </c>
      <c r="G474" s="51"/>
    </row>
    <row r="475" spans="1:7" ht="25.5" x14ac:dyDescent="0.2">
      <c r="A475" s="14" t="s">
        <v>11</v>
      </c>
      <c r="B475" s="3">
        <v>0.23726231577663159</v>
      </c>
      <c r="C475" s="4">
        <v>0.19</v>
      </c>
      <c r="D475" s="5" t="s">
        <v>12</v>
      </c>
      <c r="E475" s="6" t="s">
        <v>44</v>
      </c>
      <c r="F475" s="17" t="s">
        <v>14</v>
      </c>
      <c r="G475" s="51"/>
    </row>
    <row r="476" spans="1:7" x14ac:dyDescent="0.2">
      <c r="A476" s="15" t="s">
        <v>15</v>
      </c>
      <c r="B476" s="3">
        <v>0.30754051313974712</v>
      </c>
      <c r="C476" s="4">
        <v>0.3</v>
      </c>
      <c r="D476" s="7" t="s">
        <v>16</v>
      </c>
      <c r="E476" s="6" t="s">
        <v>97</v>
      </c>
      <c r="F476" s="17" t="s">
        <v>18</v>
      </c>
      <c r="G476" s="51"/>
    </row>
    <row r="477" spans="1:7" x14ac:dyDescent="0.2">
      <c r="A477" s="15" t="s">
        <v>19</v>
      </c>
      <c r="B477" s="3">
        <v>5.2765445923727644E-2</v>
      </c>
      <c r="C477" s="4">
        <v>0.04</v>
      </c>
      <c r="D477" s="7" t="s">
        <v>16</v>
      </c>
      <c r="E477" s="6" t="s">
        <v>158</v>
      </c>
      <c r="F477" s="17" t="s">
        <v>21</v>
      </c>
      <c r="G477" s="51"/>
    </row>
    <row r="478" spans="1:7" ht="38.25" x14ac:dyDescent="0.2">
      <c r="A478" s="15" t="s">
        <v>24</v>
      </c>
      <c r="B478" s="3">
        <v>0.29530792286433272</v>
      </c>
      <c r="C478" s="4">
        <v>0.28000000000000003</v>
      </c>
      <c r="D478" s="7" t="s">
        <v>12</v>
      </c>
      <c r="E478" s="6" t="s">
        <v>105</v>
      </c>
      <c r="F478" s="17" t="s">
        <v>26</v>
      </c>
      <c r="G478" s="51"/>
    </row>
    <row r="479" spans="1:7" x14ac:dyDescent="0.2">
      <c r="A479" s="15" t="s">
        <v>27</v>
      </c>
      <c r="B479" s="3">
        <v>6.8104529952100562E-2</v>
      </c>
      <c r="C479" s="4">
        <v>0.09</v>
      </c>
      <c r="D479" s="7" t="s">
        <v>12</v>
      </c>
      <c r="E479" s="6" t="s">
        <v>55</v>
      </c>
      <c r="F479" s="17" t="s">
        <v>29</v>
      </c>
      <c r="G479" s="51"/>
    </row>
    <row r="480" spans="1:7" x14ac:dyDescent="0.2">
      <c r="A480" s="15" t="s">
        <v>30</v>
      </c>
      <c r="B480" s="3">
        <v>3.2099484124754836E-2</v>
      </c>
      <c r="C480" s="4">
        <v>0.04</v>
      </c>
      <c r="D480" s="7" t="s">
        <v>16</v>
      </c>
      <c r="E480" s="6" t="s">
        <v>31</v>
      </c>
      <c r="F480" s="17" t="s">
        <v>32</v>
      </c>
      <c r="G480" s="51"/>
    </row>
    <row r="481" spans="1:7" x14ac:dyDescent="0.2">
      <c r="A481" s="15" t="s">
        <v>33</v>
      </c>
      <c r="B481" s="3">
        <v>1.7688465628225836E-2</v>
      </c>
      <c r="C481" s="4">
        <v>0.03</v>
      </c>
      <c r="D481" s="7" t="s">
        <v>16</v>
      </c>
      <c r="E481" s="6" t="s">
        <v>50</v>
      </c>
      <c r="F481" s="17" t="s">
        <v>34</v>
      </c>
      <c r="G481" s="51"/>
    </row>
    <row r="482" spans="1:7" x14ac:dyDescent="0.2">
      <c r="A482" s="15" t="s">
        <v>35</v>
      </c>
      <c r="B482" s="3">
        <v>2.2546332134799587E-2</v>
      </c>
      <c r="C482" s="4">
        <v>0.02</v>
      </c>
      <c r="D482" s="7" t="s">
        <v>16</v>
      </c>
      <c r="E482" s="6" t="s">
        <v>89</v>
      </c>
      <c r="F482" s="17" t="s">
        <v>36</v>
      </c>
      <c r="G482" s="51"/>
    </row>
    <row r="483" spans="1:7" x14ac:dyDescent="0.2">
      <c r="A483" s="15" t="s">
        <v>42</v>
      </c>
      <c r="B483" s="9">
        <f>SUBTOTAL(109,B475:B482)</f>
        <v>1.03331500954432</v>
      </c>
      <c r="C483" s="10">
        <f>SUBTOTAL(109,C475:C482)</f>
        <v>0.9900000000000001</v>
      </c>
      <c r="D483" s="7"/>
      <c r="E483" s="11"/>
      <c r="F483" s="18"/>
      <c r="G483" s="51"/>
    </row>
    <row r="484" spans="1:7" ht="15" thickBot="1" x14ac:dyDescent="0.25">
      <c r="A484" s="16" t="s">
        <v>43</v>
      </c>
      <c r="B484" s="12">
        <v>0.13566890539491788</v>
      </c>
      <c r="C484" s="4">
        <v>0.13</v>
      </c>
      <c r="D484" s="13" t="s">
        <v>12</v>
      </c>
      <c r="E484" s="6" t="s">
        <v>155</v>
      </c>
      <c r="F484" s="17" t="s">
        <v>45</v>
      </c>
      <c r="G484" s="51"/>
    </row>
    <row r="485" spans="1:7" ht="26.25" thickBot="1" x14ac:dyDescent="0.25">
      <c r="A485" s="24" t="s">
        <v>46</v>
      </c>
      <c r="B485" s="25"/>
      <c r="C485" s="26">
        <v>2.3999999999999998E-3</v>
      </c>
      <c r="D485" s="25"/>
      <c r="E485" s="25"/>
      <c r="F485" s="27"/>
      <c r="G485" s="51"/>
    </row>
    <row r="486" spans="1:7" ht="15" thickBot="1" x14ac:dyDescent="0.25">
      <c r="A486" s="43" t="s">
        <v>332</v>
      </c>
      <c r="B486" s="43"/>
      <c r="C486" s="43"/>
      <c r="D486" s="43"/>
      <c r="E486" s="43"/>
      <c r="F486" s="43"/>
      <c r="G486" s="51"/>
    </row>
    <row r="487" spans="1:7" x14ac:dyDescent="0.2">
      <c r="A487" s="1" t="s">
        <v>1</v>
      </c>
      <c r="B487" s="44" t="s">
        <v>159</v>
      </c>
      <c r="C487" s="45"/>
      <c r="D487" s="45"/>
      <c r="E487" s="45"/>
      <c r="F487" s="46"/>
      <c r="G487" s="51"/>
    </row>
    <row r="488" spans="1:7" ht="15" thickBot="1" x14ac:dyDescent="0.25">
      <c r="A488" s="2" t="s">
        <v>3</v>
      </c>
      <c r="B488" s="40" t="s">
        <v>160</v>
      </c>
      <c r="C488" s="41"/>
      <c r="D488" s="41"/>
      <c r="E488" s="41"/>
      <c r="F488" s="42"/>
      <c r="G488" s="51"/>
    </row>
    <row r="489" spans="1:7" ht="15" thickBot="1" x14ac:dyDescent="0.25">
      <c r="A489" s="19" t="s">
        <v>5</v>
      </c>
      <c r="B489" s="20" t="s">
        <v>6</v>
      </c>
      <c r="C489" s="21" t="s">
        <v>7</v>
      </c>
      <c r="D489" s="21" t="s">
        <v>8</v>
      </c>
      <c r="E489" s="22" t="s">
        <v>9</v>
      </c>
      <c r="F489" s="23" t="s">
        <v>10</v>
      </c>
      <c r="G489" s="51"/>
    </row>
    <row r="490" spans="1:7" ht="25.5" x14ac:dyDescent="0.2">
      <c r="A490" s="14" t="s">
        <v>11</v>
      </c>
      <c r="B490" s="3">
        <v>0.47360253010560704</v>
      </c>
      <c r="C490" s="4">
        <v>0.45</v>
      </c>
      <c r="D490" s="5" t="s">
        <v>12</v>
      </c>
      <c r="E490" s="6" t="s">
        <v>13</v>
      </c>
      <c r="F490" s="17" t="s">
        <v>14</v>
      </c>
      <c r="G490" s="51"/>
    </row>
    <row r="491" spans="1:7" x14ac:dyDescent="0.2">
      <c r="A491" s="15" t="s">
        <v>15</v>
      </c>
      <c r="B491" s="3">
        <v>0.55956986608154924</v>
      </c>
      <c r="C491" s="4">
        <v>0.55000000000000004</v>
      </c>
      <c r="D491" s="7" t="s">
        <v>16</v>
      </c>
      <c r="E491" s="6" t="s">
        <v>161</v>
      </c>
      <c r="F491" s="17" t="s">
        <v>18</v>
      </c>
      <c r="G491" s="51"/>
    </row>
    <row r="492" spans="1:7" x14ac:dyDescent="0.2">
      <c r="A492" s="15" t="s">
        <v>19</v>
      </c>
      <c r="B492" s="3">
        <v>7.542122396533707E-2</v>
      </c>
      <c r="C492" s="4">
        <v>0.08</v>
      </c>
      <c r="D492" s="7" t="s">
        <v>16</v>
      </c>
      <c r="E492" s="6" t="s">
        <v>162</v>
      </c>
      <c r="F492" s="17" t="s">
        <v>21</v>
      </c>
      <c r="G492" s="51"/>
    </row>
    <row r="493" spans="1:7" x14ac:dyDescent="0.2">
      <c r="A493" s="15" t="s">
        <v>22</v>
      </c>
      <c r="B493" s="3">
        <v>0.27702597963589143</v>
      </c>
      <c r="C493" s="4">
        <v>0.28000000000000003</v>
      </c>
      <c r="D493" s="7" t="s">
        <v>16</v>
      </c>
      <c r="E493" s="6" t="s">
        <v>78</v>
      </c>
      <c r="F493" s="17" t="s">
        <v>79</v>
      </c>
      <c r="G493" s="51"/>
    </row>
    <row r="494" spans="1:7" x14ac:dyDescent="0.2">
      <c r="A494" s="15" t="s">
        <v>24</v>
      </c>
      <c r="B494" s="3">
        <v>0</v>
      </c>
      <c r="C494" s="4">
        <v>0</v>
      </c>
      <c r="D494" s="7" t="s">
        <v>12</v>
      </c>
      <c r="E494" s="6" t="s">
        <v>56</v>
      </c>
      <c r="F494" s="17">
        <v>0</v>
      </c>
      <c r="G494" s="51"/>
    </row>
    <row r="495" spans="1:7" x14ac:dyDescent="0.2">
      <c r="A495" s="15" t="s">
        <v>42</v>
      </c>
      <c r="B495" s="9">
        <f>SUBTOTAL(109,B490:B494)</f>
        <v>1.3856195997883849</v>
      </c>
      <c r="C495" s="10">
        <f>SUBTOTAL(109,C490:C494)</f>
        <v>1.36</v>
      </c>
      <c r="D495" s="7"/>
      <c r="E495" s="11"/>
      <c r="F495" s="18"/>
      <c r="G495" s="51"/>
    </row>
    <row r="496" spans="1:7" ht="15" thickBot="1" x14ac:dyDescent="0.25">
      <c r="A496" s="16" t="s">
        <v>43</v>
      </c>
      <c r="B496" s="12">
        <v>0.17051515586849408</v>
      </c>
      <c r="C496" s="4">
        <v>0.19</v>
      </c>
      <c r="D496" s="13" t="s">
        <v>12</v>
      </c>
      <c r="E496" s="6" t="s">
        <v>44</v>
      </c>
      <c r="F496" s="17" t="s">
        <v>45</v>
      </c>
      <c r="G496" s="51"/>
    </row>
    <row r="497" spans="1:7" ht="26.25" thickBot="1" x14ac:dyDescent="0.25">
      <c r="A497" s="24" t="s">
        <v>46</v>
      </c>
      <c r="B497" s="25"/>
      <c r="C497" s="26">
        <v>2.9999999999999997E-4</v>
      </c>
      <c r="D497" s="25"/>
      <c r="E497" s="25"/>
      <c r="F497" s="27"/>
      <c r="G497" s="51"/>
    </row>
    <row r="498" spans="1:7" ht="15" thickBot="1" x14ac:dyDescent="0.25">
      <c r="A498" s="43" t="s">
        <v>332</v>
      </c>
      <c r="B498" s="43"/>
      <c r="C498" s="43"/>
      <c r="D498" s="43"/>
      <c r="E498" s="43"/>
      <c r="F498" s="43"/>
      <c r="G498" s="51"/>
    </row>
    <row r="499" spans="1:7" x14ac:dyDescent="0.2">
      <c r="A499" s="1" t="s">
        <v>1</v>
      </c>
      <c r="B499" s="44" t="s">
        <v>163</v>
      </c>
      <c r="C499" s="45"/>
      <c r="D499" s="45"/>
      <c r="E499" s="45"/>
      <c r="F499" s="46"/>
      <c r="G499" s="51"/>
    </row>
    <row r="500" spans="1:7" ht="15" thickBot="1" x14ac:dyDescent="0.25">
      <c r="A500" s="2" t="s">
        <v>3</v>
      </c>
      <c r="B500" s="40" t="s">
        <v>164</v>
      </c>
      <c r="C500" s="41"/>
      <c r="D500" s="41"/>
      <c r="E500" s="41"/>
      <c r="F500" s="42"/>
      <c r="G500" s="51"/>
    </row>
    <row r="501" spans="1:7" ht="15" thickBot="1" x14ac:dyDescent="0.25">
      <c r="A501" s="19" t="s">
        <v>5</v>
      </c>
      <c r="B501" s="20" t="s">
        <v>6</v>
      </c>
      <c r="C501" s="21" t="s">
        <v>7</v>
      </c>
      <c r="D501" s="21" t="s">
        <v>8</v>
      </c>
      <c r="E501" s="22" t="s">
        <v>9</v>
      </c>
      <c r="F501" s="23" t="s">
        <v>10</v>
      </c>
      <c r="G501" s="51"/>
    </row>
    <row r="502" spans="1:7" ht="25.5" x14ac:dyDescent="0.2">
      <c r="A502" s="14" t="s">
        <v>11</v>
      </c>
      <c r="B502" s="3">
        <v>0.47516968570838725</v>
      </c>
      <c r="C502" s="4">
        <v>0.45</v>
      </c>
      <c r="D502" s="5" t="s">
        <v>12</v>
      </c>
      <c r="E502" s="6" t="s">
        <v>13</v>
      </c>
      <c r="F502" s="17" t="s">
        <v>14</v>
      </c>
      <c r="G502" s="51"/>
    </row>
    <row r="503" spans="1:7" x14ac:dyDescent="0.2">
      <c r="A503" s="15" t="s">
        <v>15</v>
      </c>
      <c r="B503" s="3">
        <v>0.82094575985810414</v>
      </c>
      <c r="C503" s="4">
        <v>0.85</v>
      </c>
      <c r="D503" s="7" t="s">
        <v>16</v>
      </c>
      <c r="E503" s="6" t="s">
        <v>165</v>
      </c>
      <c r="F503" s="17" t="s">
        <v>18</v>
      </c>
      <c r="G503" s="51"/>
    </row>
    <row r="504" spans="1:7" x14ac:dyDescent="0.2">
      <c r="A504" s="15" t="s">
        <v>19</v>
      </c>
      <c r="B504" s="3">
        <v>7.8948895446548317E-2</v>
      </c>
      <c r="C504" s="4">
        <v>0.08</v>
      </c>
      <c r="D504" s="7" t="s">
        <v>16</v>
      </c>
      <c r="E504" s="6" t="s">
        <v>162</v>
      </c>
      <c r="F504" s="17" t="s">
        <v>21</v>
      </c>
      <c r="G504" s="51"/>
    </row>
    <row r="505" spans="1:7" x14ac:dyDescent="0.2">
      <c r="A505" s="15" t="s">
        <v>24</v>
      </c>
      <c r="B505" s="3">
        <v>0</v>
      </c>
      <c r="C505" s="4">
        <v>0</v>
      </c>
      <c r="D505" s="7" t="s">
        <v>12</v>
      </c>
      <c r="E505" s="6" t="s">
        <v>56</v>
      </c>
      <c r="F505" s="17">
        <v>0</v>
      </c>
      <c r="G505" s="51"/>
    </row>
    <row r="506" spans="1:7" x14ac:dyDescent="0.2">
      <c r="A506" s="15" t="s">
        <v>42</v>
      </c>
      <c r="B506" s="9">
        <f>SUBTOTAL(109,B502:B505)</f>
        <v>1.3750643410130396</v>
      </c>
      <c r="C506" s="10">
        <f>SUBTOTAL(109,C502:C505)</f>
        <v>1.3800000000000001</v>
      </c>
      <c r="D506" s="7"/>
      <c r="E506" s="11"/>
      <c r="F506" s="18"/>
      <c r="G506" s="51"/>
    </row>
    <row r="507" spans="1:7" ht="15" thickBot="1" x14ac:dyDescent="0.25">
      <c r="A507" s="16" t="s">
        <v>43</v>
      </c>
      <c r="B507" s="12">
        <v>0.17280464493181824</v>
      </c>
      <c r="C507" s="4">
        <v>0.19</v>
      </c>
      <c r="D507" s="13" t="s">
        <v>12</v>
      </c>
      <c r="E507" s="6" t="s">
        <v>44</v>
      </c>
      <c r="F507" s="17" t="s">
        <v>45</v>
      </c>
      <c r="G507" s="51"/>
    </row>
    <row r="508" spans="1:7" ht="26.25" thickBot="1" x14ac:dyDescent="0.25">
      <c r="A508" s="24" t="s">
        <v>46</v>
      </c>
      <c r="B508" s="25"/>
      <c r="C508" s="26">
        <v>2.9999999999999997E-4</v>
      </c>
      <c r="D508" s="25"/>
      <c r="E508" s="25"/>
      <c r="F508" s="27"/>
      <c r="G508" s="51"/>
    </row>
    <row r="509" spans="1:7" ht="15" thickBot="1" x14ac:dyDescent="0.25">
      <c r="A509" s="43" t="s">
        <v>332</v>
      </c>
      <c r="B509" s="43"/>
      <c r="C509" s="43"/>
      <c r="D509" s="43"/>
      <c r="E509" s="43"/>
      <c r="F509" s="43"/>
      <c r="G509" s="51"/>
    </row>
    <row r="510" spans="1:7" x14ac:dyDescent="0.2">
      <c r="A510" s="1" t="s">
        <v>1</v>
      </c>
      <c r="B510" s="44" t="s">
        <v>166</v>
      </c>
      <c r="C510" s="45"/>
      <c r="D510" s="45"/>
      <c r="E510" s="45"/>
      <c r="F510" s="46"/>
      <c r="G510" s="51"/>
    </row>
    <row r="511" spans="1:7" ht="15" thickBot="1" x14ac:dyDescent="0.25">
      <c r="A511" s="2" t="s">
        <v>3</v>
      </c>
      <c r="B511" s="40" t="s">
        <v>167</v>
      </c>
      <c r="C511" s="41"/>
      <c r="D511" s="41"/>
      <c r="E511" s="41"/>
      <c r="F511" s="42"/>
      <c r="G511" s="51"/>
    </row>
    <row r="512" spans="1:7" ht="15" thickBot="1" x14ac:dyDescent="0.25">
      <c r="A512" s="19" t="s">
        <v>5</v>
      </c>
      <c r="B512" s="20" t="s">
        <v>6</v>
      </c>
      <c r="C512" s="21" t="s">
        <v>7</v>
      </c>
      <c r="D512" s="21" t="s">
        <v>8</v>
      </c>
      <c r="E512" s="22" t="s">
        <v>9</v>
      </c>
      <c r="F512" s="23" t="s">
        <v>10</v>
      </c>
      <c r="G512" s="51"/>
    </row>
    <row r="513" spans="1:7" ht="25.5" x14ac:dyDescent="0.2">
      <c r="A513" s="14" t="s">
        <v>11</v>
      </c>
      <c r="B513" s="3">
        <v>0.47081570412594947</v>
      </c>
      <c r="C513" s="4">
        <v>0.45</v>
      </c>
      <c r="D513" s="5" t="s">
        <v>12</v>
      </c>
      <c r="E513" s="6" t="s">
        <v>13</v>
      </c>
      <c r="F513" s="17" t="s">
        <v>14</v>
      </c>
      <c r="G513" s="51"/>
    </row>
    <row r="514" spans="1:7" x14ac:dyDescent="0.2">
      <c r="A514" s="15" t="s">
        <v>15</v>
      </c>
      <c r="B514" s="3">
        <v>0.82109917488107442</v>
      </c>
      <c r="C514" s="4">
        <v>0.8</v>
      </c>
      <c r="D514" s="7" t="s">
        <v>16</v>
      </c>
      <c r="E514" s="6" t="s">
        <v>168</v>
      </c>
      <c r="F514" s="17" t="s">
        <v>18</v>
      </c>
      <c r="G514" s="51"/>
    </row>
    <row r="515" spans="1:7" x14ac:dyDescent="0.2">
      <c r="A515" s="15" t="s">
        <v>19</v>
      </c>
      <c r="B515" s="3">
        <v>7.2705775014091381E-2</v>
      </c>
      <c r="C515" s="4">
        <v>0.08</v>
      </c>
      <c r="D515" s="7" t="s">
        <v>16</v>
      </c>
      <c r="E515" s="6" t="s">
        <v>162</v>
      </c>
      <c r="F515" s="17" t="s">
        <v>21</v>
      </c>
      <c r="G515" s="51"/>
    </row>
    <row r="516" spans="1:7" x14ac:dyDescent="0.2">
      <c r="A516" s="15" t="s">
        <v>24</v>
      </c>
      <c r="B516" s="3">
        <v>0</v>
      </c>
      <c r="C516" s="4">
        <v>0</v>
      </c>
      <c r="D516" s="7" t="s">
        <v>12</v>
      </c>
      <c r="E516" s="6" t="s">
        <v>56</v>
      </c>
      <c r="F516" s="17">
        <v>0</v>
      </c>
      <c r="G516" s="51"/>
    </row>
    <row r="517" spans="1:7" x14ac:dyDescent="0.2">
      <c r="A517" s="15" t="s">
        <v>42</v>
      </c>
      <c r="B517" s="9">
        <f>SUBTOTAL(109,B513:B516)</f>
        <v>1.3646206540211152</v>
      </c>
      <c r="C517" s="10">
        <f>SUBTOTAL(109,C513:C516)</f>
        <v>1.33</v>
      </c>
      <c r="D517" s="7"/>
      <c r="E517" s="11"/>
      <c r="F517" s="18"/>
      <c r="G517" s="51"/>
    </row>
    <row r="518" spans="1:7" ht="15" thickBot="1" x14ac:dyDescent="0.25">
      <c r="A518" s="16" t="s">
        <v>43</v>
      </c>
      <c r="B518" s="12">
        <v>0.16911038607570811</v>
      </c>
      <c r="C518" s="4">
        <v>0.19</v>
      </c>
      <c r="D518" s="13" t="s">
        <v>12</v>
      </c>
      <c r="E518" s="6" t="s">
        <v>44</v>
      </c>
      <c r="F518" s="17" t="s">
        <v>45</v>
      </c>
      <c r="G518" s="51"/>
    </row>
    <row r="519" spans="1:7" ht="26.25" thickBot="1" x14ac:dyDescent="0.25">
      <c r="A519" s="24" t="s">
        <v>46</v>
      </c>
      <c r="B519" s="25"/>
      <c r="C519" s="26">
        <v>2.9999999999999997E-4</v>
      </c>
      <c r="D519" s="25"/>
      <c r="E519" s="25"/>
      <c r="F519" s="27"/>
      <c r="G519" s="51"/>
    </row>
    <row r="520" spans="1:7" ht="15" thickBot="1" x14ac:dyDescent="0.25">
      <c r="A520" s="43" t="s">
        <v>332</v>
      </c>
      <c r="B520" s="43"/>
      <c r="C520" s="43"/>
      <c r="D520" s="43"/>
      <c r="E520" s="43"/>
      <c r="F520" s="43"/>
      <c r="G520" s="51"/>
    </row>
    <row r="521" spans="1:7" x14ac:dyDescent="0.2">
      <c r="A521" s="1" t="s">
        <v>1</v>
      </c>
      <c r="B521" s="44" t="s">
        <v>169</v>
      </c>
      <c r="C521" s="45"/>
      <c r="D521" s="45"/>
      <c r="E521" s="45"/>
      <c r="F521" s="46"/>
      <c r="G521" s="51"/>
    </row>
    <row r="522" spans="1:7" ht="15" thickBot="1" x14ac:dyDescent="0.25">
      <c r="A522" s="2" t="s">
        <v>3</v>
      </c>
      <c r="B522" s="40" t="s">
        <v>170</v>
      </c>
      <c r="C522" s="41"/>
      <c r="D522" s="41"/>
      <c r="E522" s="41"/>
      <c r="F522" s="42"/>
      <c r="G522" s="51"/>
    </row>
    <row r="523" spans="1:7" ht="15" thickBot="1" x14ac:dyDescent="0.25">
      <c r="A523" s="19" t="s">
        <v>5</v>
      </c>
      <c r="B523" s="20" t="s">
        <v>6</v>
      </c>
      <c r="C523" s="21" t="s">
        <v>7</v>
      </c>
      <c r="D523" s="21" t="s">
        <v>8</v>
      </c>
      <c r="E523" s="22" t="s">
        <v>9</v>
      </c>
      <c r="F523" s="23" t="s">
        <v>10</v>
      </c>
      <c r="G523" s="51"/>
    </row>
    <row r="524" spans="1:7" ht="25.5" x14ac:dyDescent="0.2">
      <c r="A524" s="14" t="s">
        <v>11</v>
      </c>
      <c r="B524" s="3">
        <v>0.45883516177741318</v>
      </c>
      <c r="C524" s="4">
        <v>0.45</v>
      </c>
      <c r="D524" s="5" t="s">
        <v>12</v>
      </c>
      <c r="E524" s="6" t="s">
        <v>13</v>
      </c>
      <c r="F524" s="17" t="s">
        <v>14</v>
      </c>
      <c r="G524" s="51"/>
    </row>
    <row r="525" spans="1:7" x14ac:dyDescent="0.2">
      <c r="A525" s="15" t="s">
        <v>15</v>
      </c>
      <c r="B525" s="3">
        <v>0.81645368244614969</v>
      </c>
      <c r="C525" s="4">
        <v>0.8</v>
      </c>
      <c r="D525" s="7" t="s">
        <v>16</v>
      </c>
      <c r="E525" s="6" t="s">
        <v>168</v>
      </c>
      <c r="F525" s="17" t="s">
        <v>18</v>
      </c>
      <c r="G525" s="51"/>
    </row>
    <row r="526" spans="1:7" x14ac:dyDescent="0.2">
      <c r="A526" s="15" t="s">
        <v>19</v>
      </c>
      <c r="B526" s="3">
        <v>7.0049780717926877E-2</v>
      </c>
      <c r="C526" s="4">
        <v>0.08</v>
      </c>
      <c r="D526" s="7" t="s">
        <v>16</v>
      </c>
      <c r="E526" s="6" t="s">
        <v>162</v>
      </c>
      <c r="F526" s="17" t="s">
        <v>21</v>
      </c>
      <c r="G526" s="51"/>
    </row>
    <row r="527" spans="1:7" x14ac:dyDescent="0.2">
      <c r="A527" s="15" t="s">
        <v>24</v>
      </c>
      <c r="B527" s="3">
        <v>0</v>
      </c>
      <c r="C527" s="4">
        <v>0</v>
      </c>
      <c r="D527" s="7" t="s">
        <v>12</v>
      </c>
      <c r="E527" s="6" t="s">
        <v>56</v>
      </c>
      <c r="F527" s="17">
        <v>0</v>
      </c>
      <c r="G527" s="51"/>
    </row>
    <row r="528" spans="1:7" x14ac:dyDescent="0.2">
      <c r="A528" s="15" t="s">
        <v>42</v>
      </c>
      <c r="B528" s="9">
        <f>SUBTOTAL(109,B524:B527)</f>
        <v>1.3453386249414896</v>
      </c>
      <c r="C528" s="10">
        <f>SUBTOTAL(109,C524:C527)</f>
        <v>1.33</v>
      </c>
      <c r="D528" s="7"/>
      <c r="E528" s="11"/>
      <c r="F528" s="18"/>
      <c r="G528" s="51"/>
    </row>
    <row r="529" spans="1:7" ht="15" thickBot="1" x14ac:dyDescent="0.25">
      <c r="A529" s="16" t="s">
        <v>43</v>
      </c>
      <c r="B529" s="12">
        <v>0.15387432372210669</v>
      </c>
      <c r="C529" s="4">
        <v>0.19</v>
      </c>
      <c r="D529" s="13" t="s">
        <v>12</v>
      </c>
      <c r="E529" s="6" t="s">
        <v>44</v>
      </c>
      <c r="F529" s="17" t="s">
        <v>45</v>
      </c>
      <c r="G529" s="51"/>
    </row>
    <row r="530" spans="1:7" ht="26.25" thickBot="1" x14ac:dyDescent="0.25">
      <c r="A530" s="24" t="s">
        <v>46</v>
      </c>
      <c r="B530" s="25"/>
      <c r="C530" s="26">
        <v>2.9999999999999997E-4</v>
      </c>
      <c r="D530" s="25"/>
      <c r="E530" s="25"/>
      <c r="F530" s="27"/>
      <c r="G530" s="51"/>
    </row>
    <row r="531" spans="1:7" ht="15" thickBot="1" x14ac:dyDescent="0.25">
      <c r="A531" s="43" t="s">
        <v>332</v>
      </c>
      <c r="B531" s="43"/>
      <c r="C531" s="43"/>
      <c r="D531" s="43"/>
      <c r="E531" s="43"/>
      <c r="F531" s="43"/>
      <c r="G531" s="51"/>
    </row>
    <row r="532" spans="1:7" x14ac:dyDescent="0.2">
      <c r="A532" s="1" t="s">
        <v>1</v>
      </c>
      <c r="B532" s="44" t="s">
        <v>171</v>
      </c>
      <c r="C532" s="45"/>
      <c r="D532" s="45"/>
      <c r="E532" s="45"/>
      <c r="F532" s="46"/>
      <c r="G532" s="51"/>
    </row>
    <row r="533" spans="1:7" ht="15" thickBot="1" x14ac:dyDescent="0.25">
      <c r="A533" s="2" t="s">
        <v>3</v>
      </c>
      <c r="B533" s="40" t="s">
        <v>172</v>
      </c>
      <c r="C533" s="41"/>
      <c r="D533" s="41"/>
      <c r="E533" s="41"/>
      <c r="F533" s="42"/>
      <c r="G533" s="51"/>
    </row>
    <row r="534" spans="1:7" ht="15" thickBot="1" x14ac:dyDescent="0.25">
      <c r="A534" s="19" t="s">
        <v>5</v>
      </c>
      <c r="B534" s="20" t="s">
        <v>6</v>
      </c>
      <c r="C534" s="21" t="s">
        <v>7</v>
      </c>
      <c r="D534" s="21" t="s">
        <v>8</v>
      </c>
      <c r="E534" s="22" t="s">
        <v>9</v>
      </c>
      <c r="F534" s="23" t="s">
        <v>10</v>
      </c>
      <c r="G534" s="51"/>
    </row>
    <row r="535" spans="1:7" ht="25.5" x14ac:dyDescent="0.2">
      <c r="A535" s="14" t="s">
        <v>11</v>
      </c>
      <c r="B535" s="3">
        <v>0.48498622810420283</v>
      </c>
      <c r="C535" s="4">
        <v>0.45</v>
      </c>
      <c r="D535" s="5" t="s">
        <v>12</v>
      </c>
      <c r="E535" s="6" t="s">
        <v>13</v>
      </c>
      <c r="F535" s="17" t="s">
        <v>14</v>
      </c>
      <c r="G535" s="51"/>
    </row>
    <row r="536" spans="1:7" x14ac:dyDescent="0.2">
      <c r="A536" s="15" t="s">
        <v>15</v>
      </c>
      <c r="B536" s="3">
        <v>0.45370032250153453</v>
      </c>
      <c r="C536" s="4">
        <v>0.42</v>
      </c>
      <c r="D536" s="7" t="s">
        <v>16</v>
      </c>
      <c r="E536" s="6" t="s">
        <v>173</v>
      </c>
      <c r="F536" s="17" t="s">
        <v>18</v>
      </c>
      <c r="G536" s="51"/>
    </row>
    <row r="537" spans="1:7" x14ac:dyDescent="0.2">
      <c r="A537" s="15" t="s">
        <v>19</v>
      </c>
      <c r="B537" s="3">
        <v>2.9975653743210075E-2</v>
      </c>
      <c r="C537" s="4">
        <v>0.04</v>
      </c>
      <c r="D537" s="7" t="s">
        <v>16</v>
      </c>
      <c r="E537" s="6" t="s">
        <v>158</v>
      </c>
      <c r="F537" s="17" t="s">
        <v>21</v>
      </c>
      <c r="G537" s="51"/>
    </row>
    <row r="538" spans="1:7" ht="38.25" x14ac:dyDescent="0.2">
      <c r="A538" s="15" t="s">
        <v>24</v>
      </c>
      <c r="B538" s="3">
        <v>0.27107174159754388</v>
      </c>
      <c r="C538" s="4">
        <v>0.28000000000000003</v>
      </c>
      <c r="D538" s="7" t="s">
        <v>12</v>
      </c>
      <c r="E538" s="6" t="s">
        <v>105</v>
      </c>
      <c r="F538" s="17" t="s">
        <v>26</v>
      </c>
      <c r="G538" s="51"/>
    </row>
    <row r="539" spans="1:7" x14ac:dyDescent="0.2">
      <c r="A539" s="15" t="s">
        <v>42</v>
      </c>
      <c r="B539" s="9">
        <f>SUBTOTAL(109,B535:B538)</f>
        <v>1.2397339459464913</v>
      </c>
      <c r="C539" s="10">
        <f>SUBTOTAL(109,C535:C538)</f>
        <v>1.19</v>
      </c>
      <c r="D539" s="7"/>
      <c r="E539" s="11"/>
      <c r="F539" s="18"/>
      <c r="G539" s="51"/>
    </row>
    <row r="540" spans="1:7" ht="15" thickBot="1" x14ac:dyDescent="0.25">
      <c r="A540" s="16" t="s">
        <v>43</v>
      </c>
      <c r="B540" s="12">
        <v>0.16320747084944684</v>
      </c>
      <c r="C540" s="4">
        <v>0.19</v>
      </c>
      <c r="D540" s="13" t="s">
        <v>12</v>
      </c>
      <c r="E540" s="6" t="s">
        <v>44</v>
      </c>
      <c r="F540" s="17" t="s">
        <v>45</v>
      </c>
      <c r="G540" s="51"/>
    </row>
    <row r="541" spans="1:7" ht="26.25" thickBot="1" x14ac:dyDescent="0.25">
      <c r="A541" s="24" t="s">
        <v>46</v>
      </c>
      <c r="B541" s="25"/>
      <c r="C541" s="26">
        <v>2.9999999999999997E-4</v>
      </c>
      <c r="D541" s="25"/>
      <c r="E541" s="25"/>
      <c r="F541" s="27"/>
      <c r="G541" s="51"/>
    </row>
    <row r="542" spans="1:7" ht="15" thickBot="1" x14ac:dyDescent="0.25">
      <c r="A542" s="43" t="s">
        <v>332</v>
      </c>
      <c r="B542" s="43"/>
      <c r="C542" s="43"/>
      <c r="D542" s="43"/>
      <c r="E542" s="43"/>
      <c r="F542" s="43"/>
      <c r="G542" s="51"/>
    </row>
    <row r="543" spans="1:7" x14ac:dyDescent="0.2">
      <c r="A543" s="1" t="s">
        <v>1</v>
      </c>
      <c r="B543" s="44" t="s">
        <v>174</v>
      </c>
      <c r="C543" s="45"/>
      <c r="D543" s="45"/>
      <c r="E543" s="45"/>
      <c r="F543" s="46"/>
      <c r="G543" s="51"/>
    </row>
    <row r="544" spans="1:7" ht="15" thickBot="1" x14ac:dyDescent="0.25">
      <c r="A544" s="2" t="s">
        <v>3</v>
      </c>
      <c r="B544" s="40" t="s">
        <v>175</v>
      </c>
      <c r="C544" s="41"/>
      <c r="D544" s="41"/>
      <c r="E544" s="41"/>
      <c r="F544" s="42"/>
      <c r="G544" s="51"/>
    </row>
    <row r="545" spans="1:7" ht="15" thickBot="1" x14ac:dyDescent="0.25">
      <c r="A545" s="19" t="s">
        <v>5</v>
      </c>
      <c r="B545" s="20" t="s">
        <v>6</v>
      </c>
      <c r="C545" s="21" t="s">
        <v>7</v>
      </c>
      <c r="D545" s="21" t="s">
        <v>8</v>
      </c>
      <c r="E545" s="22" t="s">
        <v>9</v>
      </c>
      <c r="F545" s="23" t="s">
        <v>10</v>
      </c>
      <c r="G545" s="51"/>
    </row>
    <row r="546" spans="1:7" ht="25.5" x14ac:dyDescent="0.2">
      <c r="A546" s="14" t="s">
        <v>11</v>
      </c>
      <c r="B546" s="3">
        <v>0.44371283856893179</v>
      </c>
      <c r="C546" s="4">
        <v>0.45</v>
      </c>
      <c r="D546" s="5" t="s">
        <v>12</v>
      </c>
      <c r="E546" s="6" t="s">
        <v>13</v>
      </c>
      <c r="F546" s="17" t="s">
        <v>14</v>
      </c>
      <c r="G546" s="51"/>
    </row>
    <row r="547" spans="1:7" x14ac:dyDescent="0.2">
      <c r="A547" s="15" t="s">
        <v>15</v>
      </c>
      <c r="B547" s="3">
        <v>0.78817857410036041</v>
      </c>
      <c r="C547" s="4">
        <v>0.8</v>
      </c>
      <c r="D547" s="7" t="s">
        <v>16</v>
      </c>
      <c r="E547" s="6" t="s">
        <v>168</v>
      </c>
      <c r="F547" s="17" t="s">
        <v>18</v>
      </c>
      <c r="G547" s="51"/>
    </row>
    <row r="548" spans="1:7" x14ac:dyDescent="0.2">
      <c r="A548" s="15" t="s">
        <v>19</v>
      </c>
      <c r="B548" s="3">
        <v>3.4826574703675936E-2</v>
      </c>
      <c r="C548" s="4">
        <v>0.08</v>
      </c>
      <c r="D548" s="7" t="s">
        <v>16</v>
      </c>
      <c r="E548" s="6" t="s">
        <v>162</v>
      </c>
      <c r="F548" s="17" t="s">
        <v>21</v>
      </c>
      <c r="G548" s="51"/>
    </row>
    <row r="549" spans="1:7" x14ac:dyDescent="0.2">
      <c r="A549" s="15" t="s">
        <v>24</v>
      </c>
      <c r="B549" s="3">
        <v>0</v>
      </c>
      <c r="C549" s="4">
        <v>0</v>
      </c>
      <c r="D549" s="7" t="s">
        <v>12</v>
      </c>
      <c r="E549" s="6" t="s">
        <v>56</v>
      </c>
      <c r="F549" s="17">
        <v>0</v>
      </c>
      <c r="G549" s="51"/>
    </row>
    <row r="550" spans="1:7" x14ac:dyDescent="0.2">
      <c r="A550" s="15" t="s">
        <v>42</v>
      </c>
      <c r="B550" s="9">
        <f>SUBTOTAL(109,B546:B549)</f>
        <v>1.2667179873729681</v>
      </c>
      <c r="C550" s="10">
        <f>SUBTOTAL(109,C546:C549)</f>
        <v>1.33</v>
      </c>
      <c r="D550" s="7"/>
      <c r="E550" s="11"/>
      <c r="F550" s="18"/>
      <c r="G550" s="51"/>
    </row>
    <row r="551" spans="1:7" ht="15" thickBot="1" x14ac:dyDescent="0.25">
      <c r="A551" s="16" t="s">
        <v>43</v>
      </c>
      <c r="B551" s="12">
        <v>0.15172667773471582</v>
      </c>
      <c r="C551" s="4">
        <v>0.19</v>
      </c>
      <c r="D551" s="13" t="s">
        <v>12</v>
      </c>
      <c r="E551" s="6" t="s">
        <v>44</v>
      </c>
      <c r="F551" s="17" t="s">
        <v>45</v>
      </c>
      <c r="G551" s="51"/>
    </row>
    <row r="552" spans="1:7" ht="26.25" thickBot="1" x14ac:dyDescent="0.25">
      <c r="A552" s="24" t="s">
        <v>46</v>
      </c>
      <c r="B552" s="25"/>
      <c r="C552" s="26">
        <v>2.9999999999999997E-4</v>
      </c>
      <c r="D552" s="25"/>
      <c r="E552" s="25"/>
      <c r="F552" s="27"/>
      <c r="G552" s="51"/>
    </row>
    <row r="553" spans="1:7" ht="15" thickBot="1" x14ac:dyDescent="0.25">
      <c r="A553" s="43" t="s">
        <v>332</v>
      </c>
      <c r="B553" s="43"/>
      <c r="C553" s="43"/>
      <c r="D553" s="43"/>
      <c r="E553" s="43"/>
      <c r="F553" s="43"/>
      <c r="G553" s="51"/>
    </row>
    <row r="554" spans="1:7" x14ac:dyDescent="0.2">
      <c r="A554" s="1" t="s">
        <v>1</v>
      </c>
      <c r="B554" s="44" t="s">
        <v>176</v>
      </c>
      <c r="C554" s="45"/>
      <c r="D554" s="45"/>
      <c r="E554" s="45"/>
      <c r="F554" s="46"/>
      <c r="G554" s="51"/>
    </row>
    <row r="555" spans="1:7" ht="15" thickBot="1" x14ac:dyDescent="0.25">
      <c r="A555" s="2" t="s">
        <v>3</v>
      </c>
      <c r="B555" s="40" t="s">
        <v>177</v>
      </c>
      <c r="C555" s="41"/>
      <c r="D555" s="41"/>
      <c r="E555" s="41"/>
      <c r="F555" s="42"/>
      <c r="G555" s="51"/>
    </row>
    <row r="556" spans="1:7" ht="15" thickBot="1" x14ac:dyDescent="0.25">
      <c r="A556" s="19" t="s">
        <v>5</v>
      </c>
      <c r="B556" s="20" t="s">
        <v>6</v>
      </c>
      <c r="C556" s="21" t="s">
        <v>7</v>
      </c>
      <c r="D556" s="21" t="s">
        <v>8</v>
      </c>
      <c r="E556" s="22" t="s">
        <v>9</v>
      </c>
      <c r="F556" s="23" t="s">
        <v>10</v>
      </c>
      <c r="G556" s="51"/>
    </row>
    <row r="557" spans="1:7" ht="25.5" x14ac:dyDescent="0.2">
      <c r="A557" s="14" t="s">
        <v>11</v>
      </c>
      <c r="B557" s="3">
        <v>2.1931430220077984E-11</v>
      </c>
      <c r="C557" s="4">
        <v>0.02</v>
      </c>
      <c r="D557" s="5" t="s">
        <v>12</v>
      </c>
      <c r="E557" s="6" t="s">
        <v>50</v>
      </c>
      <c r="F557" s="17" t="s">
        <v>14</v>
      </c>
      <c r="G557" s="51"/>
    </row>
    <row r="558" spans="1:7" x14ac:dyDescent="0.2">
      <c r="A558" s="15" t="s">
        <v>15</v>
      </c>
      <c r="B558" s="3">
        <v>0.74436926658165437</v>
      </c>
      <c r="C558" s="4">
        <v>0.78</v>
      </c>
      <c r="D558" s="7" t="s">
        <v>16</v>
      </c>
      <c r="E558" s="6" t="s">
        <v>178</v>
      </c>
      <c r="F558" s="17" t="s">
        <v>18</v>
      </c>
      <c r="G558" s="51"/>
    </row>
    <row r="559" spans="1:7" x14ac:dyDescent="0.2">
      <c r="A559" s="15" t="s">
        <v>19</v>
      </c>
      <c r="B559" s="3">
        <v>4.2338326062617546E-2</v>
      </c>
      <c r="C559" s="4">
        <v>0.05</v>
      </c>
      <c r="D559" s="7" t="s">
        <v>16</v>
      </c>
      <c r="E559" s="6" t="s">
        <v>40</v>
      </c>
      <c r="F559" s="17" t="s">
        <v>21</v>
      </c>
      <c r="G559" s="51"/>
    </row>
    <row r="560" spans="1:7" ht="38.25" x14ac:dyDescent="0.2">
      <c r="A560" s="15" t="s">
        <v>24</v>
      </c>
      <c r="B560" s="3">
        <v>0.16532336578276596</v>
      </c>
      <c r="C560" s="4">
        <v>0.14000000000000001</v>
      </c>
      <c r="D560" s="7" t="s">
        <v>12</v>
      </c>
      <c r="E560" s="6" t="s">
        <v>80</v>
      </c>
      <c r="F560" s="17" t="s">
        <v>26</v>
      </c>
      <c r="G560" s="51"/>
    </row>
    <row r="561" spans="1:7" x14ac:dyDescent="0.2">
      <c r="A561" s="15" t="s">
        <v>27</v>
      </c>
      <c r="B561" s="3">
        <v>9.5860152625820115E-3</v>
      </c>
      <c r="C561" s="4">
        <v>0</v>
      </c>
      <c r="D561" s="7" t="s">
        <v>12</v>
      </c>
      <c r="E561" s="6" t="s">
        <v>56</v>
      </c>
      <c r="F561" s="17" t="s">
        <v>29</v>
      </c>
      <c r="G561" s="51"/>
    </row>
    <row r="562" spans="1:7" x14ac:dyDescent="0.2">
      <c r="A562" s="15" t="s">
        <v>30</v>
      </c>
      <c r="B562" s="3">
        <v>3.8993132278273071E-2</v>
      </c>
      <c r="C562" s="4">
        <v>0.04</v>
      </c>
      <c r="D562" s="7" t="s">
        <v>16</v>
      </c>
      <c r="E562" s="6" t="s">
        <v>31</v>
      </c>
      <c r="F562" s="17" t="s">
        <v>32</v>
      </c>
      <c r="G562" s="51"/>
    </row>
    <row r="563" spans="1:7" x14ac:dyDescent="0.2">
      <c r="A563" s="15" t="s">
        <v>42</v>
      </c>
      <c r="B563" s="9">
        <f>SUBTOTAL(109,B557:B562)</f>
        <v>1.0006101059898245</v>
      </c>
      <c r="C563" s="10">
        <f>SUBTOTAL(109,C557:C562)</f>
        <v>1.03</v>
      </c>
      <c r="D563" s="7"/>
      <c r="E563" s="11"/>
      <c r="F563" s="18"/>
      <c r="G563" s="51"/>
    </row>
    <row r="564" spans="1:7" ht="15" thickBot="1" x14ac:dyDescent="0.25">
      <c r="A564" s="16" t="s">
        <v>43</v>
      </c>
      <c r="B564" s="12">
        <v>4.2049597948990554E-2</v>
      </c>
      <c r="C564" s="4">
        <v>0.05</v>
      </c>
      <c r="D564" s="13" t="s">
        <v>12</v>
      </c>
      <c r="E564" s="6" t="s">
        <v>88</v>
      </c>
      <c r="F564" s="17" t="s">
        <v>45</v>
      </c>
      <c r="G564" s="51"/>
    </row>
    <row r="565" spans="1:7" ht="26.25" thickBot="1" x14ac:dyDescent="0.25">
      <c r="A565" s="24" t="s">
        <v>46</v>
      </c>
      <c r="B565" s="25"/>
      <c r="C565" s="26">
        <v>2.9999999999999997E-4</v>
      </c>
      <c r="D565" s="25"/>
      <c r="E565" s="25"/>
      <c r="F565" s="27"/>
      <c r="G565" s="51"/>
    </row>
    <row r="566" spans="1:7" ht="15" thickBot="1" x14ac:dyDescent="0.25">
      <c r="A566" s="43" t="s">
        <v>332</v>
      </c>
      <c r="B566" s="43"/>
      <c r="C566" s="43"/>
      <c r="D566" s="43"/>
      <c r="E566" s="43"/>
      <c r="F566" s="43"/>
      <c r="G566" s="51"/>
    </row>
    <row r="567" spans="1:7" x14ac:dyDescent="0.2">
      <c r="A567" s="1" t="s">
        <v>1</v>
      </c>
      <c r="B567" s="44" t="s">
        <v>179</v>
      </c>
      <c r="C567" s="45"/>
      <c r="D567" s="45"/>
      <c r="E567" s="45"/>
      <c r="F567" s="46"/>
      <c r="G567" s="51"/>
    </row>
    <row r="568" spans="1:7" ht="15" thickBot="1" x14ac:dyDescent="0.25">
      <c r="A568" s="2" t="s">
        <v>3</v>
      </c>
      <c r="B568" s="40" t="s">
        <v>180</v>
      </c>
      <c r="C568" s="41"/>
      <c r="D568" s="41"/>
      <c r="E568" s="41"/>
      <c r="F568" s="42"/>
      <c r="G568" s="51"/>
    </row>
    <row r="569" spans="1:7" ht="15" thickBot="1" x14ac:dyDescent="0.25">
      <c r="A569" s="19" t="s">
        <v>5</v>
      </c>
      <c r="B569" s="20" t="s">
        <v>6</v>
      </c>
      <c r="C569" s="21" t="s">
        <v>7</v>
      </c>
      <c r="D569" s="21" t="s">
        <v>8</v>
      </c>
      <c r="E569" s="22" t="s">
        <v>9</v>
      </c>
      <c r="F569" s="23" t="s">
        <v>10</v>
      </c>
      <c r="G569" s="51"/>
    </row>
    <row r="570" spans="1:7" ht="25.5" x14ac:dyDescent="0.2">
      <c r="A570" s="14" t="s">
        <v>11</v>
      </c>
      <c r="B570" s="3">
        <v>0</v>
      </c>
      <c r="C570" s="4">
        <v>0.02</v>
      </c>
      <c r="D570" s="5" t="s">
        <v>12</v>
      </c>
      <c r="E570" s="6" t="s">
        <v>50</v>
      </c>
      <c r="F570" s="17" t="s">
        <v>14</v>
      </c>
      <c r="G570" s="51"/>
    </row>
    <row r="571" spans="1:7" x14ac:dyDescent="0.2">
      <c r="A571" s="15" t="s">
        <v>15</v>
      </c>
      <c r="B571" s="3">
        <v>0.76200152069405624</v>
      </c>
      <c r="C571" s="4">
        <v>0.78</v>
      </c>
      <c r="D571" s="7" t="s">
        <v>16</v>
      </c>
      <c r="E571" s="6" t="s">
        <v>178</v>
      </c>
      <c r="F571" s="17" t="s">
        <v>18</v>
      </c>
      <c r="G571" s="51"/>
    </row>
    <row r="572" spans="1:7" x14ac:dyDescent="0.2">
      <c r="A572" s="15" t="s">
        <v>19</v>
      </c>
      <c r="B572" s="3">
        <v>5.2845869276679412E-2</v>
      </c>
      <c r="C572" s="4">
        <v>0.05</v>
      </c>
      <c r="D572" s="7" t="s">
        <v>16</v>
      </c>
      <c r="E572" s="6" t="s">
        <v>40</v>
      </c>
      <c r="F572" s="17" t="s">
        <v>21</v>
      </c>
      <c r="G572" s="51"/>
    </row>
    <row r="573" spans="1:7" ht="38.25" x14ac:dyDescent="0.2">
      <c r="A573" s="15" t="s">
        <v>24</v>
      </c>
      <c r="B573" s="3">
        <v>0.1698487529880961</v>
      </c>
      <c r="C573" s="4">
        <v>0.16</v>
      </c>
      <c r="D573" s="7" t="s">
        <v>12</v>
      </c>
      <c r="E573" s="6" t="s">
        <v>181</v>
      </c>
      <c r="F573" s="17" t="s">
        <v>26</v>
      </c>
      <c r="G573" s="51"/>
    </row>
    <row r="574" spans="1:7" x14ac:dyDescent="0.2">
      <c r="A574" s="15" t="s">
        <v>27</v>
      </c>
      <c r="B574" s="3">
        <v>6.5550107280458042E-3</v>
      </c>
      <c r="C574" s="4">
        <v>0.01</v>
      </c>
      <c r="D574" s="7" t="s">
        <v>12</v>
      </c>
      <c r="E574" s="6" t="s">
        <v>89</v>
      </c>
      <c r="F574" s="17" t="s">
        <v>29</v>
      </c>
      <c r="G574" s="51"/>
    </row>
    <row r="575" spans="1:7" x14ac:dyDescent="0.2">
      <c r="A575" s="15" t="s">
        <v>42</v>
      </c>
      <c r="B575" s="9">
        <f>SUBTOTAL(109,B570:B574)</f>
        <v>0.99125115368687755</v>
      </c>
      <c r="C575" s="10">
        <f>SUBTOTAL(109,C570:C574)</f>
        <v>1.02</v>
      </c>
      <c r="D575" s="7"/>
      <c r="E575" s="11"/>
      <c r="F575" s="18"/>
      <c r="G575" s="51"/>
    </row>
    <row r="576" spans="1:7" ht="15" thickBot="1" x14ac:dyDescent="0.25">
      <c r="A576" s="16" t="s">
        <v>43</v>
      </c>
      <c r="B576" s="12">
        <v>4.0751791178187884E-2</v>
      </c>
      <c r="C576" s="4">
        <v>0.05</v>
      </c>
      <c r="D576" s="13" t="s">
        <v>12</v>
      </c>
      <c r="E576" s="6" t="s">
        <v>88</v>
      </c>
      <c r="F576" s="17" t="s">
        <v>45</v>
      </c>
      <c r="G576" s="51"/>
    </row>
    <row r="577" spans="1:7" ht="26.25" thickBot="1" x14ac:dyDescent="0.25">
      <c r="A577" s="24" t="s">
        <v>46</v>
      </c>
      <c r="B577" s="25"/>
      <c r="C577" s="26">
        <v>2.9999999999999997E-4</v>
      </c>
      <c r="D577" s="25"/>
      <c r="E577" s="25"/>
      <c r="F577" s="27"/>
      <c r="G577" s="51"/>
    </row>
    <row r="578" spans="1:7" ht="15" thickBot="1" x14ac:dyDescent="0.25">
      <c r="A578" s="43" t="s">
        <v>332</v>
      </c>
      <c r="B578" s="43"/>
      <c r="C578" s="43"/>
      <c r="D578" s="43"/>
      <c r="E578" s="43"/>
      <c r="F578" s="43"/>
      <c r="G578" s="51"/>
    </row>
    <row r="579" spans="1:7" ht="15" thickBot="1" x14ac:dyDescent="0.25">
      <c r="A579" s="1" t="s">
        <v>1</v>
      </c>
      <c r="B579" s="44" t="s">
        <v>403</v>
      </c>
      <c r="C579" s="45"/>
      <c r="D579" s="45"/>
      <c r="E579" s="45"/>
      <c r="F579" s="46"/>
      <c r="G579" s="51"/>
    </row>
    <row r="580" spans="1:7" ht="15" thickBot="1" x14ac:dyDescent="0.25">
      <c r="A580" s="2" t="s">
        <v>3</v>
      </c>
      <c r="B580" s="44" t="s">
        <v>402</v>
      </c>
      <c r="C580" s="45"/>
      <c r="D580" s="45"/>
      <c r="E580" s="45"/>
      <c r="F580" s="46"/>
      <c r="G580" s="51"/>
    </row>
    <row r="581" spans="1:7" ht="15" thickBot="1" x14ac:dyDescent="0.25">
      <c r="A581" s="19" t="s">
        <v>5</v>
      </c>
      <c r="B581" s="20" t="s">
        <v>6</v>
      </c>
      <c r="C581" s="21" t="s">
        <v>7</v>
      </c>
      <c r="D581" s="21" t="s">
        <v>8</v>
      </c>
      <c r="E581" s="22" t="s">
        <v>9</v>
      </c>
      <c r="F581" s="23" t="s">
        <v>10</v>
      </c>
      <c r="G581" s="51"/>
    </row>
    <row r="582" spans="1:7" ht="25.5" x14ac:dyDescent="0.2">
      <c r="A582" s="14" t="s">
        <v>11</v>
      </c>
      <c r="B582" s="3"/>
      <c r="C582" s="4">
        <v>0.02</v>
      </c>
      <c r="D582" s="5" t="s">
        <v>12</v>
      </c>
      <c r="E582" s="6" t="s">
        <v>50</v>
      </c>
      <c r="F582" s="17" t="s">
        <v>14</v>
      </c>
      <c r="G582" s="51"/>
    </row>
    <row r="583" spans="1:7" x14ac:dyDescent="0.2">
      <c r="A583" s="15" t="s">
        <v>15</v>
      </c>
      <c r="B583" s="3"/>
      <c r="C583" s="4">
        <v>0.8</v>
      </c>
      <c r="D583" s="7" t="s">
        <v>16</v>
      </c>
      <c r="E583" s="6" t="s">
        <v>168</v>
      </c>
      <c r="F583" s="17" t="s">
        <v>18</v>
      </c>
      <c r="G583" s="51"/>
    </row>
    <row r="584" spans="1:7" x14ac:dyDescent="0.2">
      <c r="A584" s="15" t="s">
        <v>19</v>
      </c>
      <c r="B584" s="3"/>
      <c r="C584" s="4">
        <v>0.05</v>
      </c>
      <c r="D584" s="7" t="s">
        <v>16</v>
      </c>
      <c r="E584" s="6" t="s">
        <v>40</v>
      </c>
      <c r="F584" s="17" t="s">
        <v>21</v>
      </c>
      <c r="G584" s="51"/>
    </row>
    <row r="585" spans="1:7" ht="38.25" x14ac:dyDescent="0.2">
      <c r="A585" s="15" t="s">
        <v>24</v>
      </c>
      <c r="B585" s="3"/>
      <c r="C585" s="4">
        <v>0.1</v>
      </c>
      <c r="D585" s="7" t="s">
        <v>12</v>
      </c>
      <c r="E585" s="6" t="s">
        <v>154</v>
      </c>
      <c r="F585" s="6" t="s">
        <v>26</v>
      </c>
      <c r="G585" s="51"/>
    </row>
    <row r="586" spans="1:7" x14ac:dyDescent="0.2">
      <c r="A586" s="15" t="s">
        <v>42</v>
      </c>
      <c r="B586" s="9"/>
      <c r="C586" s="10">
        <f>SUBTOTAL(109,C582:C585)</f>
        <v>0.97000000000000008</v>
      </c>
      <c r="D586" s="7"/>
      <c r="E586" s="11"/>
      <c r="F586" s="18"/>
      <c r="G586" s="51"/>
    </row>
    <row r="587" spans="1:7" ht="15" thickBot="1" x14ac:dyDescent="0.25">
      <c r="A587" s="16" t="s">
        <v>43</v>
      </c>
      <c r="B587" s="12"/>
      <c r="C587" s="4">
        <v>0.05</v>
      </c>
      <c r="D587" s="13" t="s">
        <v>12</v>
      </c>
      <c r="E587" s="6" t="s">
        <v>88</v>
      </c>
      <c r="F587" s="17" t="s">
        <v>45</v>
      </c>
      <c r="G587" s="51"/>
    </row>
    <row r="588" spans="1:7" ht="26.25" thickBot="1" x14ac:dyDescent="0.25">
      <c r="A588" s="24" t="s">
        <v>46</v>
      </c>
      <c r="B588" s="25"/>
      <c r="C588" s="26">
        <v>1E-3</v>
      </c>
      <c r="D588" s="25"/>
      <c r="E588" s="25"/>
      <c r="F588" s="27"/>
      <c r="G588" s="51"/>
    </row>
    <row r="589" spans="1:7" ht="15" thickBot="1" x14ac:dyDescent="0.25">
      <c r="A589" s="43" t="s">
        <v>332</v>
      </c>
      <c r="B589" s="43"/>
      <c r="C589" s="43"/>
      <c r="D589" s="43"/>
      <c r="E589" s="43"/>
      <c r="F589" s="43"/>
      <c r="G589" s="51"/>
    </row>
    <row r="590" spans="1:7" x14ac:dyDescent="0.2">
      <c r="A590" s="1" t="s">
        <v>1</v>
      </c>
      <c r="B590" s="44" t="s">
        <v>182</v>
      </c>
      <c r="C590" s="45"/>
      <c r="D590" s="45"/>
      <c r="E590" s="45"/>
      <c r="F590" s="46"/>
      <c r="G590" s="51"/>
    </row>
    <row r="591" spans="1:7" ht="15" thickBot="1" x14ac:dyDescent="0.25">
      <c r="A591" s="2" t="s">
        <v>3</v>
      </c>
      <c r="B591" s="40" t="s">
        <v>183</v>
      </c>
      <c r="C591" s="41"/>
      <c r="D591" s="41"/>
      <c r="E591" s="41"/>
      <c r="F591" s="42"/>
      <c r="G591" s="51"/>
    </row>
    <row r="592" spans="1:7" ht="15" thickBot="1" x14ac:dyDescent="0.25">
      <c r="A592" s="19" t="s">
        <v>5</v>
      </c>
      <c r="B592" s="20" t="s">
        <v>6</v>
      </c>
      <c r="C592" s="21" t="s">
        <v>7</v>
      </c>
      <c r="D592" s="21" t="s">
        <v>8</v>
      </c>
      <c r="E592" s="22" t="s">
        <v>9</v>
      </c>
      <c r="F592" s="23" t="s">
        <v>10</v>
      </c>
      <c r="G592" s="51"/>
    </row>
    <row r="593" spans="1:7" ht="25.5" x14ac:dyDescent="0.2">
      <c r="A593" s="14" t="s">
        <v>11</v>
      </c>
      <c r="B593" s="3">
        <v>0</v>
      </c>
      <c r="C593" s="4">
        <v>0.02</v>
      </c>
      <c r="D593" s="5" t="s">
        <v>12</v>
      </c>
      <c r="E593" s="6" t="s">
        <v>50</v>
      </c>
      <c r="F593" s="17" t="s">
        <v>14</v>
      </c>
      <c r="G593" s="51"/>
    </row>
    <row r="594" spans="1:7" x14ac:dyDescent="0.2">
      <c r="A594" s="15" t="s">
        <v>15</v>
      </c>
      <c r="B594" s="3">
        <v>0.77925292024122528</v>
      </c>
      <c r="C594" s="4">
        <v>0.79</v>
      </c>
      <c r="D594" s="7" t="s">
        <v>16</v>
      </c>
      <c r="E594" s="6" t="s">
        <v>184</v>
      </c>
      <c r="F594" s="17" t="s">
        <v>18</v>
      </c>
      <c r="G594" s="51"/>
    </row>
    <row r="595" spans="1:7" x14ac:dyDescent="0.2">
      <c r="A595" s="15" t="s">
        <v>19</v>
      </c>
      <c r="B595" s="3">
        <v>3.4125336495151939E-2</v>
      </c>
      <c r="C595" s="4">
        <v>0.05</v>
      </c>
      <c r="D595" s="7" t="s">
        <v>16</v>
      </c>
      <c r="E595" s="6" t="s">
        <v>40</v>
      </c>
      <c r="F595" s="17" t="s">
        <v>21</v>
      </c>
      <c r="G595" s="51"/>
    </row>
    <row r="596" spans="1:7" ht="38.25" x14ac:dyDescent="0.2">
      <c r="A596" s="15" t="s">
        <v>24</v>
      </c>
      <c r="B596" s="3">
        <v>0.10687161119001463</v>
      </c>
      <c r="C596" s="4">
        <v>0.11</v>
      </c>
      <c r="D596" s="7" t="s">
        <v>12</v>
      </c>
      <c r="E596" s="6" t="s">
        <v>112</v>
      </c>
      <c r="F596" s="17" t="s">
        <v>26</v>
      </c>
      <c r="G596" s="51"/>
    </row>
    <row r="597" spans="1:7" x14ac:dyDescent="0.2">
      <c r="A597" s="15" t="s">
        <v>27</v>
      </c>
      <c r="B597" s="3">
        <v>4.9844766127154869E-2</v>
      </c>
      <c r="C597" s="4">
        <v>0.06</v>
      </c>
      <c r="D597" s="7" t="s">
        <v>12</v>
      </c>
      <c r="E597" s="6" t="s">
        <v>64</v>
      </c>
      <c r="F597" s="17" t="s">
        <v>29</v>
      </c>
      <c r="G597" s="51"/>
    </row>
    <row r="598" spans="1:7" x14ac:dyDescent="0.2">
      <c r="A598" s="15" t="s">
        <v>42</v>
      </c>
      <c r="B598" s="9">
        <f>SUBTOTAL(109,B593:B597)</f>
        <v>0.97009463405354668</v>
      </c>
      <c r="C598" s="10">
        <f>SUBTOTAL(109,C593:C597)</f>
        <v>1.03</v>
      </c>
      <c r="D598" s="7"/>
      <c r="E598" s="11"/>
      <c r="F598" s="18"/>
      <c r="G598" s="51"/>
    </row>
    <row r="599" spans="1:7" ht="15" thickBot="1" x14ac:dyDescent="0.25">
      <c r="A599" s="16" t="s">
        <v>43</v>
      </c>
      <c r="B599" s="12">
        <v>3.9847501358971013E-2</v>
      </c>
      <c r="C599" s="4">
        <v>0.05</v>
      </c>
      <c r="D599" s="13" t="s">
        <v>12</v>
      </c>
      <c r="E599" s="6" t="s">
        <v>88</v>
      </c>
      <c r="F599" s="17" t="s">
        <v>45</v>
      </c>
      <c r="G599" s="51"/>
    </row>
    <row r="600" spans="1:7" ht="26.25" thickBot="1" x14ac:dyDescent="0.25">
      <c r="A600" s="24" t="s">
        <v>46</v>
      </c>
      <c r="B600" s="25"/>
      <c r="C600" s="26">
        <v>2.9999999999999997E-4</v>
      </c>
      <c r="D600" s="25"/>
      <c r="E600" s="25"/>
      <c r="F600" s="27"/>
      <c r="G600" s="51"/>
    </row>
    <row r="601" spans="1:7" ht="15" thickBot="1" x14ac:dyDescent="0.25">
      <c r="A601" s="43" t="s">
        <v>332</v>
      </c>
      <c r="B601" s="43"/>
      <c r="C601" s="43"/>
      <c r="D601" s="43"/>
      <c r="E601" s="43"/>
      <c r="F601" s="43"/>
      <c r="G601" s="51"/>
    </row>
    <row r="602" spans="1:7" x14ac:dyDescent="0.2">
      <c r="A602" s="1" t="s">
        <v>1</v>
      </c>
      <c r="B602" s="44" t="s">
        <v>185</v>
      </c>
      <c r="C602" s="45"/>
      <c r="D602" s="45"/>
      <c r="E602" s="45"/>
      <c r="F602" s="46"/>
      <c r="G602" s="51"/>
    </row>
    <row r="603" spans="1:7" ht="15" thickBot="1" x14ac:dyDescent="0.25">
      <c r="A603" s="2" t="s">
        <v>3</v>
      </c>
      <c r="B603" s="40" t="s">
        <v>186</v>
      </c>
      <c r="C603" s="41"/>
      <c r="D603" s="41"/>
      <c r="E603" s="41"/>
      <c r="F603" s="42"/>
      <c r="G603" s="51"/>
    </row>
    <row r="604" spans="1:7" ht="15" thickBot="1" x14ac:dyDescent="0.25">
      <c r="A604" s="19" t="s">
        <v>5</v>
      </c>
      <c r="B604" s="20" t="s">
        <v>6</v>
      </c>
      <c r="C604" s="21" t="s">
        <v>7</v>
      </c>
      <c r="D604" s="21" t="s">
        <v>8</v>
      </c>
      <c r="E604" s="22" t="s">
        <v>9</v>
      </c>
      <c r="F604" s="23" t="s">
        <v>10</v>
      </c>
      <c r="G604" s="51"/>
    </row>
    <row r="605" spans="1:7" ht="25.5" x14ac:dyDescent="0.2">
      <c r="A605" s="14" t="s">
        <v>11</v>
      </c>
      <c r="B605" s="3">
        <v>0</v>
      </c>
      <c r="C605" s="4">
        <v>0.02</v>
      </c>
      <c r="D605" s="5" t="s">
        <v>12</v>
      </c>
      <c r="E605" s="6" t="s">
        <v>50</v>
      </c>
      <c r="F605" s="17" t="s">
        <v>14</v>
      </c>
      <c r="G605" s="51"/>
    </row>
    <row r="606" spans="1:7" x14ac:dyDescent="0.2">
      <c r="A606" s="15" t="s">
        <v>15</v>
      </c>
      <c r="B606" s="3">
        <v>0.79862656489704198</v>
      </c>
      <c r="C606" s="4">
        <v>0.75</v>
      </c>
      <c r="D606" s="7" t="s">
        <v>16</v>
      </c>
      <c r="E606" s="6" t="s">
        <v>187</v>
      </c>
      <c r="F606" s="17" t="s">
        <v>18</v>
      </c>
      <c r="G606" s="51"/>
    </row>
    <row r="607" spans="1:7" x14ac:dyDescent="0.2">
      <c r="A607" s="15" t="s">
        <v>19</v>
      </c>
      <c r="B607" s="3">
        <v>0</v>
      </c>
      <c r="C607" s="4">
        <v>0.05</v>
      </c>
      <c r="D607" s="7" t="s">
        <v>16</v>
      </c>
      <c r="E607" s="6" t="s">
        <v>40</v>
      </c>
      <c r="F607" s="17" t="s">
        <v>21</v>
      </c>
      <c r="G607" s="51"/>
    </row>
    <row r="608" spans="1:7" ht="38.25" x14ac:dyDescent="0.2">
      <c r="A608" s="15" t="s">
        <v>24</v>
      </c>
      <c r="B608" s="3">
        <v>0.15501484168604779</v>
      </c>
      <c r="C608" s="4">
        <v>0.15</v>
      </c>
      <c r="D608" s="7" t="s">
        <v>12</v>
      </c>
      <c r="E608" s="6" t="s">
        <v>188</v>
      </c>
      <c r="F608" s="17" t="s">
        <v>26</v>
      </c>
      <c r="G608" s="51"/>
    </row>
    <row r="609" spans="1:7" x14ac:dyDescent="0.2">
      <c r="A609" s="15" t="s">
        <v>27</v>
      </c>
      <c r="B609" s="3">
        <v>2.9219407307906876E-2</v>
      </c>
      <c r="C609" s="4">
        <v>0.04</v>
      </c>
      <c r="D609" s="7" t="s">
        <v>12</v>
      </c>
      <c r="E609" s="6" t="s">
        <v>40</v>
      </c>
      <c r="F609" s="17" t="s">
        <v>29</v>
      </c>
      <c r="G609" s="51"/>
    </row>
    <row r="610" spans="1:7" x14ac:dyDescent="0.2">
      <c r="A610" s="15" t="s">
        <v>42</v>
      </c>
      <c r="B610" s="9">
        <f>SUBTOTAL(109,B605:B609)</f>
        <v>0.98286081389099667</v>
      </c>
      <c r="C610" s="10">
        <f>SUBTOTAL(109,C605:C609)</f>
        <v>1.01</v>
      </c>
      <c r="D610" s="7"/>
      <c r="E610" s="11"/>
      <c r="F610" s="18"/>
      <c r="G610" s="51"/>
    </row>
    <row r="611" spans="1:7" ht="15" thickBot="1" x14ac:dyDescent="0.25">
      <c r="A611" s="16" t="s">
        <v>43</v>
      </c>
      <c r="B611" s="12">
        <v>-1.0683056872115016E-4</v>
      </c>
      <c r="C611" s="4">
        <v>0.05</v>
      </c>
      <c r="D611" s="13" t="s">
        <v>12</v>
      </c>
      <c r="E611" s="6" t="s">
        <v>88</v>
      </c>
      <c r="F611" s="17" t="s">
        <v>45</v>
      </c>
      <c r="G611" s="51"/>
    </row>
    <row r="612" spans="1:7" ht="26.25" thickBot="1" x14ac:dyDescent="0.25">
      <c r="A612" s="24" t="s">
        <v>46</v>
      </c>
      <c r="B612" s="25"/>
      <c r="C612" s="26">
        <v>2.9999999999999997E-4</v>
      </c>
      <c r="D612" s="25"/>
      <c r="E612" s="25"/>
      <c r="F612" s="27"/>
      <c r="G612" s="51"/>
    </row>
    <row r="613" spans="1:7" ht="15" thickBot="1" x14ac:dyDescent="0.25">
      <c r="A613" s="43" t="s">
        <v>332</v>
      </c>
      <c r="B613" s="43"/>
      <c r="C613" s="43"/>
      <c r="D613" s="43"/>
      <c r="E613" s="43"/>
      <c r="F613" s="43"/>
      <c r="G613" s="51"/>
    </row>
    <row r="614" spans="1:7" x14ac:dyDescent="0.2">
      <c r="A614" s="1" t="s">
        <v>1</v>
      </c>
      <c r="B614" s="44" t="s">
        <v>189</v>
      </c>
      <c r="C614" s="45"/>
      <c r="D614" s="45"/>
      <c r="E614" s="45"/>
      <c r="F614" s="46"/>
      <c r="G614" s="51"/>
    </row>
    <row r="615" spans="1:7" ht="15" customHeight="1" thickBot="1" x14ac:dyDescent="0.25">
      <c r="A615" s="2" t="s">
        <v>3</v>
      </c>
      <c r="B615" s="40" t="s">
        <v>190</v>
      </c>
      <c r="C615" s="41"/>
      <c r="D615" s="41"/>
      <c r="E615" s="41"/>
      <c r="F615" s="42"/>
      <c r="G615" s="51"/>
    </row>
    <row r="616" spans="1:7" ht="15" thickBot="1" x14ac:dyDescent="0.25">
      <c r="A616" s="19" t="s">
        <v>5</v>
      </c>
      <c r="B616" s="20" t="s">
        <v>6</v>
      </c>
      <c r="C616" s="21" t="s">
        <v>7</v>
      </c>
      <c r="D616" s="21" t="s">
        <v>8</v>
      </c>
      <c r="E616" s="22" t="s">
        <v>9</v>
      </c>
      <c r="F616" s="23" t="s">
        <v>10</v>
      </c>
      <c r="G616" s="51"/>
    </row>
    <row r="617" spans="1:7" x14ac:dyDescent="0.2">
      <c r="A617" s="14" t="s">
        <v>11</v>
      </c>
      <c r="B617" s="3">
        <v>0</v>
      </c>
      <c r="C617" s="4">
        <v>0</v>
      </c>
      <c r="D617" s="5" t="s">
        <v>12</v>
      </c>
      <c r="E617" s="6" t="s">
        <v>56</v>
      </c>
      <c r="F617" s="17">
        <v>0</v>
      </c>
      <c r="G617" s="51"/>
    </row>
    <row r="618" spans="1:7" x14ac:dyDescent="0.2">
      <c r="A618" s="15" t="s">
        <v>15</v>
      </c>
      <c r="B618" s="3">
        <v>0.83456582821818337</v>
      </c>
      <c r="C618" s="4">
        <v>0.82</v>
      </c>
      <c r="D618" s="7" t="s">
        <v>16</v>
      </c>
      <c r="E618" s="6" t="s">
        <v>191</v>
      </c>
      <c r="F618" s="17" t="s">
        <v>18</v>
      </c>
      <c r="G618" s="51"/>
    </row>
    <row r="619" spans="1:7" ht="38.25" x14ac:dyDescent="0.2">
      <c r="A619" s="15" t="s">
        <v>24</v>
      </c>
      <c r="B619" s="3">
        <v>0.10758990007063683</v>
      </c>
      <c r="C619" s="4">
        <v>0.11</v>
      </c>
      <c r="D619" s="7" t="s">
        <v>12</v>
      </c>
      <c r="E619" s="6" t="s">
        <v>112</v>
      </c>
      <c r="F619" s="17" t="s">
        <v>26</v>
      </c>
      <c r="G619" s="51"/>
    </row>
    <row r="620" spans="1:7" x14ac:dyDescent="0.2">
      <c r="A620" s="15" t="s">
        <v>30</v>
      </c>
      <c r="B620" s="3">
        <v>4.0102019296526473E-2</v>
      </c>
      <c r="C620" s="4">
        <v>0.04</v>
      </c>
      <c r="D620" s="7" t="s">
        <v>16</v>
      </c>
      <c r="E620" s="6" t="s">
        <v>31</v>
      </c>
      <c r="F620" s="17" t="s">
        <v>32</v>
      </c>
      <c r="G620" s="51"/>
    </row>
    <row r="621" spans="1:7" x14ac:dyDescent="0.2">
      <c r="A621" s="15" t="s">
        <v>42</v>
      </c>
      <c r="B621" s="9">
        <f>SUBTOTAL(109,B617:B620)</f>
        <v>0.98225774758534667</v>
      </c>
      <c r="C621" s="10">
        <f>SUBTOTAL(109,C617:C620)</f>
        <v>0.97</v>
      </c>
      <c r="D621" s="7"/>
      <c r="E621" s="11"/>
      <c r="F621" s="18"/>
      <c r="G621" s="51"/>
    </row>
    <row r="622" spans="1:7" ht="15" thickBot="1" x14ac:dyDescent="0.25">
      <c r="A622" s="16" t="s">
        <v>43</v>
      </c>
      <c r="B622" s="12">
        <v>6.8298129741143779E-3</v>
      </c>
      <c r="C622" s="4">
        <v>0</v>
      </c>
      <c r="D622" s="13" t="s">
        <v>12</v>
      </c>
      <c r="E622" s="6" t="s">
        <v>56</v>
      </c>
      <c r="F622" s="17" t="s">
        <v>45</v>
      </c>
      <c r="G622" s="51"/>
    </row>
    <row r="623" spans="1:7" ht="26.25" thickBot="1" x14ac:dyDescent="0.25">
      <c r="A623" s="24" t="s">
        <v>46</v>
      </c>
      <c r="B623" s="25"/>
      <c r="C623" s="26">
        <v>2.9999999999999997E-4</v>
      </c>
      <c r="D623" s="25"/>
      <c r="E623" s="25"/>
      <c r="F623" s="27"/>
      <c r="G623" s="51"/>
    </row>
    <row r="624" spans="1:7" ht="15" thickBot="1" x14ac:dyDescent="0.25">
      <c r="A624" s="43" t="s">
        <v>332</v>
      </c>
      <c r="B624" s="43"/>
      <c r="C624" s="43"/>
      <c r="D624" s="43"/>
      <c r="E624" s="43"/>
      <c r="F624" s="43"/>
      <c r="G624" s="51"/>
    </row>
    <row r="625" spans="1:7" x14ac:dyDescent="0.2">
      <c r="A625" s="1" t="s">
        <v>1</v>
      </c>
      <c r="B625" s="44" t="s">
        <v>192</v>
      </c>
      <c r="C625" s="45"/>
      <c r="D625" s="45"/>
      <c r="E625" s="45"/>
      <c r="F625" s="46"/>
      <c r="G625" s="51"/>
    </row>
    <row r="626" spans="1:7" ht="15" thickBot="1" x14ac:dyDescent="0.25">
      <c r="A626" s="2" t="s">
        <v>3</v>
      </c>
      <c r="B626" s="40" t="s">
        <v>193</v>
      </c>
      <c r="C626" s="41"/>
      <c r="D626" s="41"/>
      <c r="E626" s="41"/>
      <c r="F626" s="42"/>
      <c r="G626" s="51"/>
    </row>
    <row r="627" spans="1:7" ht="15" thickBot="1" x14ac:dyDescent="0.25">
      <c r="A627" s="19" t="s">
        <v>5</v>
      </c>
      <c r="B627" s="20" t="s">
        <v>6</v>
      </c>
      <c r="C627" s="21" t="s">
        <v>7</v>
      </c>
      <c r="D627" s="21" t="s">
        <v>8</v>
      </c>
      <c r="E627" s="22" t="s">
        <v>9</v>
      </c>
      <c r="F627" s="23" t="s">
        <v>10</v>
      </c>
      <c r="G627" s="51"/>
    </row>
    <row r="628" spans="1:7" x14ac:dyDescent="0.2">
      <c r="A628" s="14" t="s">
        <v>11</v>
      </c>
      <c r="B628" s="3">
        <v>0</v>
      </c>
      <c r="C628" s="4">
        <v>0</v>
      </c>
      <c r="D628" s="5" t="s">
        <v>12</v>
      </c>
      <c r="E628" s="6" t="s">
        <v>56</v>
      </c>
      <c r="F628" s="17">
        <v>0</v>
      </c>
      <c r="G628" s="51"/>
    </row>
    <row r="629" spans="1:7" x14ac:dyDescent="0.2">
      <c r="A629" s="15" t="s">
        <v>15</v>
      </c>
      <c r="B629" s="3">
        <v>0.90322573198708345</v>
      </c>
      <c r="C629" s="4">
        <v>0.83</v>
      </c>
      <c r="D629" s="7" t="s">
        <v>16</v>
      </c>
      <c r="E629" s="6" t="s">
        <v>194</v>
      </c>
      <c r="F629" s="17" t="s">
        <v>195</v>
      </c>
      <c r="G629" s="51"/>
    </row>
    <row r="630" spans="1:7" x14ac:dyDescent="0.2">
      <c r="A630" s="15" t="s">
        <v>24</v>
      </c>
      <c r="B630" s="3">
        <v>7.0227736622440598E-2</v>
      </c>
      <c r="C630" s="4">
        <v>0.09</v>
      </c>
      <c r="D630" s="7" t="s">
        <v>12</v>
      </c>
      <c r="E630" s="6" t="s">
        <v>55</v>
      </c>
      <c r="F630" s="17" t="s">
        <v>196</v>
      </c>
      <c r="G630" s="51"/>
    </row>
    <row r="631" spans="1:7" x14ac:dyDescent="0.2">
      <c r="A631" s="15" t="s">
        <v>42</v>
      </c>
      <c r="B631" s="9">
        <f>SUBTOTAL(109,B628:B630)</f>
        <v>0.97345346860952409</v>
      </c>
      <c r="C631" s="10">
        <f>SUBTOTAL(109,C628:C630)</f>
        <v>0.91999999999999993</v>
      </c>
      <c r="D631" s="7"/>
      <c r="E631" s="11"/>
      <c r="F631" s="18"/>
      <c r="G631" s="51"/>
    </row>
    <row r="632" spans="1:7" ht="15" thickBot="1" x14ac:dyDescent="0.25">
      <c r="A632" s="16" t="s">
        <v>43</v>
      </c>
      <c r="B632" s="12">
        <v>5.9009286822134797E-4</v>
      </c>
      <c r="C632" s="4">
        <v>0</v>
      </c>
      <c r="D632" s="13" t="s">
        <v>12</v>
      </c>
      <c r="E632" s="6" t="s">
        <v>56</v>
      </c>
      <c r="F632" s="17" t="s">
        <v>45</v>
      </c>
      <c r="G632" s="51"/>
    </row>
    <row r="633" spans="1:7" ht="26.25" thickBot="1" x14ac:dyDescent="0.25">
      <c r="A633" s="24" t="s">
        <v>46</v>
      </c>
      <c r="B633" s="25"/>
      <c r="C633" s="26">
        <v>2.9999999999999997E-4</v>
      </c>
      <c r="D633" s="25"/>
      <c r="E633" s="25"/>
      <c r="F633" s="27"/>
      <c r="G633" s="51"/>
    </row>
    <row r="634" spans="1:7" ht="15" thickBot="1" x14ac:dyDescent="0.25">
      <c r="A634" s="43" t="s">
        <v>332</v>
      </c>
      <c r="B634" s="43"/>
      <c r="C634" s="43"/>
      <c r="D634" s="43"/>
      <c r="E634" s="43"/>
      <c r="F634" s="43"/>
      <c r="G634" s="51"/>
    </row>
    <row r="635" spans="1:7" x14ac:dyDescent="0.2">
      <c r="A635" s="1" t="s">
        <v>1</v>
      </c>
      <c r="B635" s="44" t="s">
        <v>197</v>
      </c>
      <c r="C635" s="45"/>
      <c r="D635" s="45"/>
      <c r="E635" s="45"/>
      <c r="F635" s="46"/>
      <c r="G635" s="51"/>
    </row>
    <row r="636" spans="1:7" ht="15" thickBot="1" x14ac:dyDescent="0.25">
      <c r="A636" s="2" t="s">
        <v>3</v>
      </c>
      <c r="B636" s="40" t="s">
        <v>198</v>
      </c>
      <c r="C636" s="41"/>
      <c r="D636" s="41"/>
      <c r="E636" s="41"/>
      <c r="F636" s="42"/>
      <c r="G636" s="51"/>
    </row>
    <row r="637" spans="1:7" ht="15" thickBot="1" x14ac:dyDescent="0.25">
      <c r="A637" s="19" t="s">
        <v>5</v>
      </c>
      <c r="B637" s="20" t="s">
        <v>6</v>
      </c>
      <c r="C637" s="21" t="s">
        <v>7</v>
      </c>
      <c r="D637" s="21" t="s">
        <v>8</v>
      </c>
      <c r="E637" s="22" t="s">
        <v>9</v>
      </c>
      <c r="F637" s="23" t="s">
        <v>10</v>
      </c>
      <c r="G637" s="51"/>
    </row>
    <row r="638" spans="1:7" x14ac:dyDescent="0.2">
      <c r="A638" s="14" t="s">
        <v>11</v>
      </c>
      <c r="B638" s="3">
        <v>0</v>
      </c>
      <c r="C638" s="4">
        <v>0</v>
      </c>
      <c r="D638" s="5" t="s">
        <v>12</v>
      </c>
      <c r="E638" s="6" t="s">
        <v>56</v>
      </c>
      <c r="F638" s="17">
        <v>0</v>
      </c>
      <c r="G638" s="51"/>
    </row>
    <row r="639" spans="1:7" x14ac:dyDescent="0.2">
      <c r="A639" s="15" t="s">
        <v>15</v>
      </c>
      <c r="B639" s="3">
        <v>0.95282261994376505</v>
      </c>
      <c r="C639" s="4">
        <v>0.92</v>
      </c>
      <c r="D639" s="7" t="s">
        <v>16</v>
      </c>
      <c r="E639" s="6" t="s">
        <v>199</v>
      </c>
      <c r="F639" s="17" t="s">
        <v>195</v>
      </c>
      <c r="G639" s="51"/>
    </row>
    <row r="640" spans="1:7" x14ac:dyDescent="0.2">
      <c r="A640" s="15" t="s">
        <v>24</v>
      </c>
      <c r="B640" s="3">
        <v>3.7493506978654473E-2</v>
      </c>
      <c r="C640" s="4">
        <v>0.04</v>
      </c>
      <c r="D640" s="7" t="s">
        <v>12</v>
      </c>
      <c r="E640" s="6" t="s">
        <v>40</v>
      </c>
      <c r="F640" s="17" t="s">
        <v>196</v>
      </c>
      <c r="G640" s="51"/>
    </row>
    <row r="641" spans="1:7" x14ac:dyDescent="0.2">
      <c r="A641" s="15" t="s">
        <v>42</v>
      </c>
      <c r="B641" s="9">
        <f>SUBTOTAL(109,B638:B640)</f>
        <v>0.99031612692241955</v>
      </c>
      <c r="C641" s="10">
        <f>SUBTOTAL(109,C638:C640)</f>
        <v>0.96000000000000008</v>
      </c>
      <c r="D641" s="7"/>
      <c r="E641" s="11"/>
      <c r="F641" s="18"/>
      <c r="G641" s="51"/>
    </row>
    <row r="642" spans="1:7" ht="15" thickBot="1" x14ac:dyDescent="0.25">
      <c r="A642" s="16" t="s">
        <v>43</v>
      </c>
      <c r="B642" s="12">
        <v>0</v>
      </c>
      <c r="C642" s="4">
        <v>0</v>
      </c>
      <c r="D642" s="13" t="s">
        <v>12</v>
      </c>
      <c r="E642" s="6" t="s">
        <v>56</v>
      </c>
      <c r="F642" s="17" t="s">
        <v>45</v>
      </c>
      <c r="G642" s="51"/>
    </row>
    <row r="643" spans="1:7" ht="26.25" thickBot="1" x14ac:dyDescent="0.25">
      <c r="A643" s="24" t="s">
        <v>46</v>
      </c>
      <c r="B643" s="25"/>
      <c r="C643" s="26">
        <v>2.9999999999999997E-4</v>
      </c>
      <c r="D643" s="25"/>
      <c r="E643" s="25"/>
      <c r="F643" s="27"/>
      <c r="G643" s="51"/>
    </row>
    <row r="644" spans="1:7" ht="15" thickBot="1" x14ac:dyDescent="0.25">
      <c r="A644" s="43" t="s">
        <v>332</v>
      </c>
      <c r="B644" s="43"/>
      <c r="C644" s="43"/>
      <c r="D644" s="43"/>
      <c r="E644" s="43"/>
      <c r="F644" s="43"/>
      <c r="G644" s="51"/>
    </row>
    <row r="645" spans="1:7" x14ac:dyDescent="0.2">
      <c r="A645" s="1" t="s">
        <v>1</v>
      </c>
      <c r="B645" s="44" t="s">
        <v>200</v>
      </c>
      <c r="C645" s="45"/>
      <c r="D645" s="45"/>
      <c r="E645" s="45"/>
      <c r="F645" s="46"/>
      <c r="G645" s="51"/>
    </row>
    <row r="646" spans="1:7" ht="15" thickBot="1" x14ac:dyDescent="0.25">
      <c r="A646" s="2" t="s">
        <v>3</v>
      </c>
      <c r="B646" s="40" t="s">
        <v>201</v>
      </c>
      <c r="C646" s="41"/>
      <c r="D646" s="41"/>
      <c r="E646" s="41"/>
      <c r="F646" s="42"/>
      <c r="G646" s="51"/>
    </row>
    <row r="647" spans="1:7" ht="15" thickBot="1" x14ac:dyDescent="0.25">
      <c r="A647" s="19" t="s">
        <v>5</v>
      </c>
      <c r="B647" s="20" t="s">
        <v>6</v>
      </c>
      <c r="C647" s="21" t="s">
        <v>7</v>
      </c>
      <c r="D647" s="21" t="s">
        <v>8</v>
      </c>
      <c r="E647" s="22" t="s">
        <v>9</v>
      </c>
      <c r="F647" s="23" t="s">
        <v>10</v>
      </c>
      <c r="G647" s="51"/>
    </row>
    <row r="648" spans="1:7" x14ac:dyDescent="0.2">
      <c r="A648" s="14" t="s">
        <v>11</v>
      </c>
      <c r="B648" s="3">
        <v>0</v>
      </c>
      <c r="C648" s="4">
        <v>0</v>
      </c>
      <c r="D648" s="5" t="s">
        <v>12</v>
      </c>
      <c r="E648" s="6" t="s">
        <v>56</v>
      </c>
      <c r="F648" s="17">
        <v>0</v>
      </c>
      <c r="G648" s="51"/>
    </row>
    <row r="649" spans="1:7" x14ac:dyDescent="0.2">
      <c r="A649" s="15" t="s">
        <v>15</v>
      </c>
      <c r="B649" s="3">
        <v>0</v>
      </c>
      <c r="C649" s="4">
        <v>0</v>
      </c>
      <c r="D649" s="7" t="s">
        <v>16</v>
      </c>
      <c r="E649" s="6" t="s">
        <v>23</v>
      </c>
      <c r="F649" s="17">
        <v>0</v>
      </c>
      <c r="G649" s="51"/>
    </row>
    <row r="650" spans="1:7" x14ac:dyDescent="0.2">
      <c r="A650" s="15" t="s">
        <v>19</v>
      </c>
      <c r="B650" s="3">
        <v>0.22765238294103832</v>
      </c>
      <c r="C650" s="4">
        <v>0.22</v>
      </c>
      <c r="D650" s="7" t="s">
        <v>16</v>
      </c>
      <c r="E650" s="6" t="s">
        <v>59</v>
      </c>
      <c r="F650" s="17" t="s">
        <v>202</v>
      </c>
      <c r="G650" s="51"/>
    </row>
    <row r="651" spans="1:7" ht="51" x14ac:dyDescent="0.2">
      <c r="A651" s="15" t="s">
        <v>24</v>
      </c>
      <c r="B651" s="3">
        <v>0.81403629962065693</v>
      </c>
      <c r="C651" s="4">
        <v>0.78</v>
      </c>
      <c r="D651" s="7" t="s">
        <v>12</v>
      </c>
      <c r="E651" s="6" t="s">
        <v>203</v>
      </c>
      <c r="F651" s="17" t="s">
        <v>204</v>
      </c>
      <c r="G651" s="51"/>
    </row>
    <row r="652" spans="1:7" x14ac:dyDescent="0.2">
      <c r="A652" s="15" t="s">
        <v>42</v>
      </c>
      <c r="B652" s="9">
        <f>SUBTOTAL(109,B648:B651)</f>
        <v>1.0416886825616953</v>
      </c>
      <c r="C652" s="10">
        <f>SUBTOTAL(109,C648:C651)</f>
        <v>1</v>
      </c>
      <c r="D652" s="7"/>
      <c r="E652" s="11"/>
      <c r="F652" s="18"/>
      <c r="G652" s="51"/>
    </row>
    <row r="653" spans="1:7" ht="15" thickBot="1" x14ac:dyDescent="0.25">
      <c r="A653" s="16" t="s">
        <v>43</v>
      </c>
      <c r="B653" s="12">
        <v>0.97219984364254219</v>
      </c>
      <c r="C653" s="4">
        <v>0.96</v>
      </c>
      <c r="D653" s="13" t="s">
        <v>12</v>
      </c>
      <c r="E653" s="6" t="s">
        <v>205</v>
      </c>
      <c r="F653" s="17" t="s">
        <v>45</v>
      </c>
      <c r="G653" s="51"/>
    </row>
    <row r="654" spans="1:7" ht="26.25" thickBot="1" x14ac:dyDescent="0.25">
      <c r="A654" s="24" t="s">
        <v>46</v>
      </c>
      <c r="B654" s="25"/>
      <c r="C654" s="26">
        <v>2.5000000000000001E-3</v>
      </c>
      <c r="D654" s="25"/>
      <c r="E654" s="25"/>
      <c r="F654" s="27"/>
      <c r="G654" s="51"/>
    </row>
    <row r="655" spans="1:7" ht="15" thickBot="1" x14ac:dyDescent="0.25">
      <c r="A655" s="43" t="s">
        <v>332</v>
      </c>
      <c r="B655" s="43"/>
      <c r="C655" s="43"/>
      <c r="D655" s="43"/>
      <c r="E655" s="43"/>
      <c r="F655" s="43"/>
      <c r="G655" s="51"/>
    </row>
    <row r="656" spans="1:7" x14ac:dyDescent="0.2">
      <c r="A656" s="1" t="s">
        <v>1</v>
      </c>
      <c r="B656" s="44" t="s">
        <v>206</v>
      </c>
      <c r="C656" s="45"/>
      <c r="D656" s="45"/>
      <c r="E656" s="45"/>
      <c r="F656" s="46"/>
      <c r="G656" s="51"/>
    </row>
    <row r="657" spans="1:7" ht="15" thickBot="1" x14ac:dyDescent="0.25">
      <c r="A657" s="2" t="s">
        <v>3</v>
      </c>
      <c r="B657" s="40" t="s">
        <v>207</v>
      </c>
      <c r="C657" s="41"/>
      <c r="D657" s="41"/>
      <c r="E657" s="41"/>
      <c r="F657" s="42"/>
      <c r="G657" s="51"/>
    </row>
    <row r="658" spans="1:7" ht="15" thickBot="1" x14ac:dyDescent="0.25">
      <c r="A658" s="19" t="s">
        <v>5</v>
      </c>
      <c r="B658" s="20" t="s">
        <v>6</v>
      </c>
      <c r="C658" s="21" t="s">
        <v>7</v>
      </c>
      <c r="D658" s="21" t="s">
        <v>8</v>
      </c>
      <c r="E658" s="22" t="s">
        <v>9</v>
      </c>
      <c r="F658" s="23" t="s">
        <v>10</v>
      </c>
      <c r="G658" s="51"/>
    </row>
    <row r="659" spans="1:7" x14ac:dyDescent="0.2">
      <c r="A659" s="14" t="s">
        <v>11</v>
      </c>
      <c r="B659" s="3">
        <v>0</v>
      </c>
      <c r="C659" s="4">
        <v>0</v>
      </c>
      <c r="D659" s="5" t="s">
        <v>12</v>
      </c>
      <c r="E659" s="6" t="s">
        <v>56</v>
      </c>
      <c r="F659" s="17">
        <v>0</v>
      </c>
      <c r="G659" s="51"/>
    </row>
    <row r="660" spans="1:7" x14ac:dyDescent="0.2">
      <c r="A660" s="15" t="s">
        <v>15</v>
      </c>
      <c r="B660" s="3">
        <v>0</v>
      </c>
      <c r="C660" s="4">
        <v>0</v>
      </c>
      <c r="D660" s="7" t="s">
        <v>16</v>
      </c>
      <c r="E660" s="6" t="s">
        <v>23</v>
      </c>
      <c r="F660" s="17">
        <v>0</v>
      </c>
      <c r="G660" s="51"/>
    </row>
    <row r="661" spans="1:7" x14ac:dyDescent="0.2">
      <c r="A661" s="15" t="s">
        <v>19</v>
      </c>
      <c r="B661" s="3">
        <v>0.23111930135625666</v>
      </c>
      <c r="C661" s="4">
        <v>0.22</v>
      </c>
      <c r="D661" s="7" t="s">
        <v>16</v>
      </c>
      <c r="E661" s="6" t="s">
        <v>59</v>
      </c>
      <c r="F661" s="17" t="s">
        <v>202</v>
      </c>
      <c r="G661" s="51"/>
    </row>
    <row r="662" spans="1:7" ht="51" x14ac:dyDescent="0.2">
      <c r="A662" s="15" t="s">
        <v>24</v>
      </c>
      <c r="B662" s="3">
        <v>0.81166885358976215</v>
      </c>
      <c r="C662" s="4">
        <v>0.78</v>
      </c>
      <c r="D662" s="7" t="s">
        <v>12</v>
      </c>
      <c r="E662" s="6" t="s">
        <v>203</v>
      </c>
      <c r="F662" s="17" t="s">
        <v>204</v>
      </c>
      <c r="G662" s="51"/>
    </row>
    <row r="663" spans="1:7" x14ac:dyDescent="0.2">
      <c r="A663" s="15" t="s">
        <v>42</v>
      </c>
      <c r="B663" s="9">
        <f>SUBTOTAL(109,B659:B662)</f>
        <v>1.0427881549460187</v>
      </c>
      <c r="C663" s="10">
        <f>SUBTOTAL(109,C659:C662)</f>
        <v>1</v>
      </c>
      <c r="D663" s="7"/>
      <c r="E663" s="11"/>
      <c r="F663" s="18"/>
      <c r="G663" s="51"/>
    </row>
    <row r="664" spans="1:7" ht="15" thickBot="1" x14ac:dyDescent="0.25">
      <c r="A664" s="16" t="s">
        <v>43</v>
      </c>
      <c r="B664" s="12">
        <v>0.94850460478550136</v>
      </c>
      <c r="C664" s="4">
        <v>0.96</v>
      </c>
      <c r="D664" s="13" t="s">
        <v>12</v>
      </c>
      <c r="E664" s="6" t="s">
        <v>205</v>
      </c>
      <c r="F664" s="17" t="s">
        <v>45</v>
      </c>
      <c r="G664" s="51"/>
    </row>
    <row r="665" spans="1:7" ht="26.25" thickBot="1" x14ac:dyDescent="0.25">
      <c r="A665" s="24" t="s">
        <v>46</v>
      </c>
      <c r="B665" s="25"/>
      <c r="C665" s="26">
        <v>2.5000000000000001E-3</v>
      </c>
      <c r="D665" s="25"/>
      <c r="E665" s="25"/>
      <c r="F665" s="27"/>
      <c r="G665" s="51"/>
    </row>
    <row r="666" spans="1:7" ht="15" thickBot="1" x14ac:dyDescent="0.25">
      <c r="A666" s="43" t="s">
        <v>332</v>
      </c>
      <c r="B666" s="43"/>
      <c r="C666" s="43"/>
      <c r="D666" s="43"/>
      <c r="E666" s="43"/>
      <c r="F666" s="43"/>
      <c r="G666" s="51"/>
    </row>
    <row r="667" spans="1:7" x14ac:dyDescent="0.2">
      <c r="A667" s="1" t="s">
        <v>1</v>
      </c>
      <c r="B667" s="44" t="s">
        <v>208</v>
      </c>
      <c r="C667" s="45"/>
      <c r="D667" s="45"/>
      <c r="E667" s="45"/>
      <c r="F667" s="46"/>
      <c r="G667" s="51"/>
    </row>
    <row r="668" spans="1:7" ht="15" thickBot="1" x14ac:dyDescent="0.25">
      <c r="A668" s="2" t="s">
        <v>3</v>
      </c>
      <c r="B668" s="40" t="s">
        <v>209</v>
      </c>
      <c r="C668" s="41"/>
      <c r="D668" s="41"/>
      <c r="E668" s="41"/>
      <c r="F668" s="42"/>
      <c r="G668" s="51"/>
    </row>
    <row r="669" spans="1:7" ht="15" thickBot="1" x14ac:dyDescent="0.25">
      <c r="A669" s="19" t="s">
        <v>5</v>
      </c>
      <c r="B669" s="20" t="s">
        <v>6</v>
      </c>
      <c r="C669" s="21" t="s">
        <v>7</v>
      </c>
      <c r="D669" s="21" t="s">
        <v>8</v>
      </c>
      <c r="E669" s="22" t="s">
        <v>9</v>
      </c>
      <c r="F669" s="23" t="s">
        <v>10</v>
      </c>
      <c r="G669" s="51"/>
    </row>
    <row r="670" spans="1:7" x14ac:dyDescent="0.2">
      <c r="A670" s="14" t="s">
        <v>11</v>
      </c>
      <c r="B670" s="3">
        <v>0</v>
      </c>
      <c r="C670" s="4">
        <v>0</v>
      </c>
      <c r="D670" s="5" t="s">
        <v>12</v>
      </c>
      <c r="E670" s="6" t="s">
        <v>56</v>
      </c>
      <c r="F670" s="17">
        <v>0</v>
      </c>
      <c r="G670" s="51"/>
    </row>
    <row r="671" spans="1:7" x14ac:dyDescent="0.2">
      <c r="A671" s="15" t="s">
        <v>15</v>
      </c>
      <c r="B671" s="3">
        <v>0</v>
      </c>
      <c r="C671" s="4">
        <v>0</v>
      </c>
      <c r="D671" s="7" t="s">
        <v>16</v>
      </c>
      <c r="E671" s="6" t="s">
        <v>23</v>
      </c>
      <c r="F671" s="17">
        <v>0</v>
      </c>
      <c r="G671" s="51"/>
    </row>
    <row r="672" spans="1:7" x14ac:dyDescent="0.2">
      <c r="A672" s="15" t="s">
        <v>19</v>
      </c>
      <c r="B672" s="3">
        <v>0.229458816851591</v>
      </c>
      <c r="C672" s="4">
        <v>0.22</v>
      </c>
      <c r="D672" s="7" t="s">
        <v>16</v>
      </c>
      <c r="E672" s="6" t="s">
        <v>59</v>
      </c>
      <c r="F672" s="17" t="s">
        <v>202</v>
      </c>
      <c r="G672" s="51"/>
    </row>
    <row r="673" spans="1:7" ht="51" x14ac:dyDescent="0.2">
      <c r="A673" s="15" t="s">
        <v>24</v>
      </c>
      <c r="B673" s="3">
        <v>0.80204253876680087</v>
      </c>
      <c r="C673" s="4">
        <v>0.78</v>
      </c>
      <c r="D673" s="7" t="s">
        <v>12</v>
      </c>
      <c r="E673" s="6" t="s">
        <v>203</v>
      </c>
      <c r="F673" s="17" t="s">
        <v>204</v>
      </c>
      <c r="G673" s="51"/>
    </row>
    <row r="674" spans="1:7" x14ac:dyDescent="0.2">
      <c r="A674" s="15" t="s">
        <v>42</v>
      </c>
      <c r="B674" s="9">
        <f>SUBTOTAL(109,B670:B673)</f>
        <v>1.0315013556183918</v>
      </c>
      <c r="C674" s="10">
        <f>SUBTOTAL(109,C670:C673)</f>
        <v>1</v>
      </c>
      <c r="D674" s="7"/>
      <c r="E674" s="11"/>
      <c r="F674" s="18"/>
      <c r="G674" s="51"/>
    </row>
    <row r="675" spans="1:7" ht="15" thickBot="1" x14ac:dyDescent="0.25">
      <c r="A675" s="16" t="s">
        <v>43</v>
      </c>
      <c r="B675" s="12">
        <v>0.98083070672478545</v>
      </c>
      <c r="C675" s="4">
        <v>0.96</v>
      </c>
      <c r="D675" s="13" t="s">
        <v>12</v>
      </c>
      <c r="E675" s="6" t="s">
        <v>205</v>
      </c>
      <c r="F675" s="17" t="s">
        <v>45</v>
      </c>
      <c r="G675" s="51"/>
    </row>
    <row r="676" spans="1:7" ht="26.25" thickBot="1" x14ac:dyDescent="0.25">
      <c r="A676" s="24" t="s">
        <v>46</v>
      </c>
      <c r="B676" s="25"/>
      <c r="C676" s="26">
        <v>2.5000000000000001E-3</v>
      </c>
      <c r="D676" s="25"/>
      <c r="E676" s="25"/>
      <c r="F676" s="27"/>
      <c r="G676" s="51"/>
    </row>
    <row r="677" spans="1:7" ht="15" thickBot="1" x14ac:dyDescent="0.25">
      <c r="A677" s="43" t="s">
        <v>332</v>
      </c>
      <c r="B677" s="43"/>
      <c r="C677" s="43"/>
      <c r="D677" s="43"/>
      <c r="E677" s="43"/>
      <c r="F677" s="43"/>
      <c r="G677" s="51"/>
    </row>
    <row r="678" spans="1:7" x14ac:dyDescent="0.2">
      <c r="A678" s="1" t="s">
        <v>1</v>
      </c>
      <c r="B678" s="44" t="s">
        <v>210</v>
      </c>
      <c r="C678" s="45"/>
      <c r="D678" s="45"/>
      <c r="E678" s="45"/>
      <c r="F678" s="46"/>
      <c r="G678" s="51"/>
    </row>
    <row r="679" spans="1:7" ht="15" thickBot="1" x14ac:dyDescent="0.25">
      <c r="A679" s="2" t="s">
        <v>3</v>
      </c>
      <c r="B679" s="40" t="s">
        <v>211</v>
      </c>
      <c r="C679" s="41"/>
      <c r="D679" s="41"/>
      <c r="E679" s="41"/>
      <c r="F679" s="42"/>
      <c r="G679" s="51"/>
    </row>
    <row r="680" spans="1:7" ht="15" thickBot="1" x14ac:dyDescent="0.25">
      <c r="A680" s="19" t="s">
        <v>5</v>
      </c>
      <c r="B680" s="20" t="s">
        <v>6</v>
      </c>
      <c r="C680" s="21" t="s">
        <v>7</v>
      </c>
      <c r="D680" s="21" t="s">
        <v>8</v>
      </c>
      <c r="E680" s="22" t="s">
        <v>9</v>
      </c>
      <c r="F680" s="23" t="s">
        <v>10</v>
      </c>
      <c r="G680" s="51"/>
    </row>
    <row r="681" spans="1:7" x14ac:dyDescent="0.2">
      <c r="A681" s="14" t="s">
        <v>11</v>
      </c>
      <c r="B681" s="3">
        <v>0</v>
      </c>
      <c r="C681" s="4">
        <v>0</v>
      </c>
      <c r="D681" s="5" t="s">
        <v>12</v>
      </c>
      <c r="E681" s="6" t="s">
        <v>56</v>
      </c>
      <c r="F681" s="17">
        <v>0</v>
      </c>
      <c r="G681" s="51"/>
    </row>
    <row r="682" spans="1:7" x14ac:dyDescent="0.2">
      <c r="A682" s="15" t="s">
        <v>15</v>
      </c>
      <c r="B682" s="3">
        <v>0</v>
      </c>
      <c r="C682" s="4">
        <v>0</v>
      </c>
      <c r="D682" s="7" t="s">
        <v>16</v>
      </c>
      <c r="E682" s="6" t="s">
        <v>23</v>
      </c>
      <c r="F682" s="17">
        <v>0</v>
      </c>
      <c r="G682" s="51"/>
    </row>
    <row r="683" spans="1:7" x14ac:dyDescent="0.2">
      <c r="A683" s="15" t="s">
        <v>19</v>
      </c>
      <c r="B683" s="3">
        <v>0.14708571906814821</v>
      </c>
      <c r="C683" s="4">
        <v>0.14000000000000001</v>
      </c>
      <c r="D683" s="7" t="s">
        <v>16</v>
      </c>
      <c r="E683" s="6" t="s">
        <v>212</v>
      </c>
      <c r="F683" s="17" t="s">
        <v>202</v>
      </c>
      <c r="G683" s="51"/>
    </row>
    <row r="684" spans="1:7" x14ac:dyDescent="0.2">
      <c r="A684" s="15" t="s">
        <v>22</v>
      </c>
      <c r="B684" s="3">
        <v>0.2468057369457459</v>
      </c>
      <c r="C684" s="4">
        <v>0.28000000000000003</v>
      </c>
      <c r="D684" s="7" t="s">
        <v>16</v>
      </c>
      <c r="E684" s="6" t="s">
        <v>78</v>
      </c>
      <c r="F684" s="17" t="s">
        <v>79</v>
      </c>
      <c r="G684" s="51"/>
    </row>
    <row r="685" spans="1:7" ht="51" x14ac:dyDescent="0.2">
      <c r="A685" s="15" t="s">
        <v>24</v>
      </c>
      <c r="B685" s="3">
        <v>0.55796196868817272</v>
      </c>
      <c r="C685" s="4">
        <v>0.55000000000000004</v>
      </c>
      <c r="D685" s="7" t="s">
        <v>12</v>
      </c>
      <c r="E685" s="6" t="s">
        <v>213</v>
      </c>
      <c r="F685" s="17" t="s">
        <v>204</v>
      </c>
      <c r="G685" s="51"/>
    </row>
    <row r="686" spans="1:7" x14ac:dyDescent="0.2">
      <c r="A686" s="15" t="s">
        <v>42</v>
      </c>
      <c r="B686" s="9">
        <f>SUBTOTAL(109,B681:B685)</f>
        <v>0.9518534247020668</v>
      </c>
      <c r="C686" s="10">
        <f>SUBTOTAL(109,C681:C685)</f>
        <v>0.97000000000000008</v>
      </c>
      <c r="D686" s="7"/>
      <c r="E686" s="11"/>
      <c r="F686" s="18"/>
      <c r="G686" s="51"/>
    </row>
    <row r="687" spans="1:7" ht="15" thickBot="1" x14ac:dyDescent="0.25">
      <c r="A687" s="16" t="s">
        <v>43</v>
      </c>
      <c r="B687" s="12">
        <v>0.63816380017684238</v>
      </c>
      <c r="C687" s="4">
        <v>0.7</v>
      </c>
      <c r="D687" s="13" t="s">
        <v>12</v>
      </c>
      <c r="E687" s="6" t="s">
        <v>120</v>
      </c>
      <c r="F687" s="17" t="s">
        <v>45</v>
      </c>
      <c r="G687" s="51"/>
    </row>
    <row r="688" spans="1:7" ht="26.25" thickBot="1" x14ac:dyDescent="0.25">
      <c r="A688" s="24" t="s">
        <v>46</v>
      </c>
      <c r="B688" s="25"/>
      <c r="C688" s="26">
        <v>2.5000000000000001E-3</v>
      </c>
      <c r="D688" s="25"/>
      <c r="E688" s="25"/>
      <c r="F688" s="27"/>
      <c r="G688" s="51"/>
    </row>
    <row r="689" spans="1:7" ht="15" thickBot="1" x14ac:dyDescent="0.25">
      <c r="A689" s="43" t="s">
        <v>332</v>
      </c>
      <c r="B689" s="43"/>
      <c r="C689" s="43"/>
      <c r="D689" s="43"/>
      <c r="E689" s="43"/>
      <c r="F689" s="43"/>
      <c r="G689" s="51"/>
    </row>
    <row r="690" spans="1:7" x14ac:dyDescent="0.2">
      <c r="A690" s="1" t="s">
        <v>1</v>
      </c>
      <c r="B690" s="44" t="s">
        <v>214</v>
      </c>
      <c r="C690" s="45"/>
      <c r="D690" s="45"/>
      <c r="E690" s="45"/>
      <c r="F690" s="46"/>
      <c r="G690" s="51"/>
    </row>
    <row r="691" spans="1:7" ht="15" thickBot="1" x14ac:dyDescent="0.25">
      <c r="A691" s="2" t="s">
        <v>3</v>
      </c>
      <c r="B691" s="40" t="s">
        <v>215</v>
      </c>
      <c r="C691" s="41"/>
      <c r="D691" s="41"/>
      <c r="E691" s="41"/>
      <c r="F691" s="42"/>
      <c r="G691" s="51"/>
    </row>
    <row r="692" spans="1:7" ht="15" thickBot="1" x14ac:dyDescent="0.25">
      <c r="A692" s="19" t="s">
        <v>5</v>
      </c>
      <c r="B692" s="20" t="s">
        <v>6</v>
      </c>
      <c r="C692" s="21" t="s">
        <v>7</v>
      </c>
      <c r="D692" s="21" t="s">
        <v>8</v>
      </c>
      <c r="E692" s="22" t="s">
        <v>9</v>
      </c>
      <c r="F692" s="23" t="s">
        <v>10</v>
      </c>
      <c r="G692" s="51"/>
    </row>
    <row r="693" spans="1:7" x14ac:dyDescent="0.2">
      <c r="A693" s="14" t="s">
        <v>11</v>
      </c>
      <c r="B693" s="3">
        <v>0.7070238891234577</v>
      </c>
      <c r="C693" s="4">
        <v>0.73</v>
      </c>
      <c r="D693" s="5" t="s">
        <v>12</v>
      </c>
      <c r="E693" s="6" t="s">
        <v>216</v>
      </c>
      <c r="F693" s="17" t="s">
        <v>217</v>
      </c>
      <c r="G693" s="51"/>
    </row>
    <row r="694" spans="1:7" x14ac:dyDescent="0.2">
      <c r="A694" s="15" t="s">
        <v>360</v>
      </c>
      <c r="B694" s="3">
        <v>0</v>
      </c>
      <c r="C694" s="4">
        <v>0.05</v>
      </c>
      <c r="D694" s="7" t="s">
        <v>16</v>
      </c>
      <c r="E694" s="6" t="s">
        <v>40</v>
      </c>
      <c r="F694" s="17" t="s">
        <v>41</v>
      </c>
      <c r="G694" s="51"/>
    </row>
    <row r="695" spans="1:7" x14ac:dyDescent="0.2">
      <c r="A695" s="15" t="s">
        <v>22</v>
      </c>
      <c r="B695" s="3">
        <v>0.28367394427063181</v>
      </c>
      <c r="C695" s="4">
        <v>0.28000000000000003</v>
      </c>
      <c r="D695" s="7" t="s">
        <v>16</v>
      </c>
      <c r="E695" s="6" t="s">
        <v>78</v>
      </c>
      <c r="F695" s="17" t="s">
        <v>79</v>
      </c>
      <c r="G695" s="51"/>
    </row>
    <row r="696" spans="1:7" x14ac:dyDescent="0.2">
      <c r="A696" s="15" t="s">
        <v>24</v>
      </c>
      <c r="B696" s="3">
        <v>0</v>
      </c>
      <c r="C696" s="4">
        <v>0</v>
      </c>
      <c r="D696" s="7" t="s">
        <v>12</v>
      </c>
      <c r="E696" s="6" t="s">
        <v>56</v>
      </c>
      <c r="F696" s="17">
        <v>0</v>
      </c>
      <c r="G696" s="51"/>
    </row>
    <row r="697" spans="1:7" x14ac:dyDescent="0.2">
      <c r="A697" s="15" t="s">
        <v>42</v>
      </c>
      <c r="B697" s="9">
        <f>SUBTOTAL(109,B693:B696)</f>
        <v>0.99069783339408946</v>
      </c>
      <c r="C697" s="10">
        <f>SUBTOTAL(109,C693:C696)</f>
        <v>1.06</v>
      </c>
      <c r="D697" s="7"/>
      <c r="E697" s="11"/>
      <c r="F697" s="18"/>
      <c r="G697" s="51"/>
    </row>
    <row r="698" spans="1:7" ht="15" thickBot="1" x14ac:dyDescent="0.25">
      <c r="A698" s="16" t="s">
        <v>43</v>
      </c>
      <c r="B698" s="12">
        <v>0.70230332838184373</v>
      </c>
      <c r="C698" s="4">
        <v>0.7</v>
      </c>
      <c r="D698" s="13" t="s">
        <v>12</v>
      </c>
      <c r="E698" s="6" t="s">
        <v>120</v>
      </c>
      <c r="F698" s="17" t="s">
        <v>218</v>
      </c>
      <c r="G698" s="51"/>
    </row>
    <row r="699" spans="1:7" ht="26.25" thickBot="1" x14ac:dyDescent="0.25">
      <c r="A699" s="24" t="s">
        <v>46</v>
      </c>
      <c r="B699" s="25"/>
      <c r="C699" s="26">
        <v>2.9999999999999997E-4</v>
      </c>
      <c r="D699" s="25"/>
      <c r="E699" s="25"/>
      <c r="F699" s="27"/>
      <c r="G699" s="51"/>
    </row>
    <row r="700" spans="1:7" ht="15" thickBot="1" x14ac:dyDescent="0.25">
      <c r="A700" s="49" t="s">
        <v>361</v>
      </c>
      <c r="B700" s="49"/>
      <c r="C700" s="49"/>
      <c r="D700" s="49"/>
      <c r="E700" s="49"/>
      <c r="F700" s="49"/>
      <c r="G700" s="51"/>
    </row>
    <row r="701" spans="1:7" ht="15" thickBot="1" x14ac:dyDescent="0.25">
      <c r="A701" s="43" t="s">
        <v>332</v>
      </c>
      <c r="B701" s="43"/>
      <c r="C701" s="43"/>
      <c r="D701" s="43"/>
      <c r="E701" s="43"/>
      <c r="F701" s="43"/>
      <c r="G701" s="51"/>
    </row>
    <row r="702" spans="1:7" x14ac:dyDescent="0.2">
      <c r="A702" s="1" t="s">
        <v>1</v>
      </c>
      <c r="B702" s="44" t="s">
        <v>219</v>
      </c>
      <c r="C702" s="45"/>
      <c r="D702" s="45"/>
      <c r="E702" s="45"/>
      <c r="F702" s="46"/>
      <c r="G702" s="51"/>
    </row>
    <row r="703" spans="1:7" ht="15" thickBot="1" x14ac:dyDescent="0.25">
      <c r="A703" s="2" t="s">
        <v>3</v>
      </c>
      <c r="B703" s="40" t="s">
        <v>220</v>
      </c>
      <c r="C703" s="41"/>
      <c r="D703" s="41"/>
      <c r="E703" s="41"/>
      <c r="F703" s="42"/>
      <c r="G703" s="51"/>
    </row>
    <row r="704" spans="1:7" ht="15" thickBot="1" x14ac:dyDescent="0.25">
      <c r="A704" s="19" t="s">
        <v>5</v>
      </c>
      <c r="B704" s="20" t="s">
        <v>6</v>
      </c>
      <c r="C704" s="21" t="s">
        <v>7</v>
      </c>
      <c r="D704" s="21" t="s">
        <v>8</v>
      </c>
      <c r="E704" s="22" t="s">
        <v>9</v>
      </c>
      <c r="F704" s="23" t="s">
        <v>10</v>
      </c>
      <c r="G704" s="51"/>
    </row>
    <row r="705" spans="1:7" x14ac:dyDescent="0.2">
      <c r="A705" s="14" t="s">
        <v>11</v>
      </c>
      <c r="B705" s="3">
        <v>0.99784455643124148</v>
      </c>
      <c r="C705" s="4">
        <v>0.98</v>
      </c>
      <c r="D705" s="5" t="s">
        <v>12</v>
      </c>
      <c r="E705" s="6" t="s">
        <v>115</v>
      </c>
      <c r="F705" s="17" t="s">
        <v>217</v>
      </c>
      <c r="G705" s="51"/>
    </row>
    <row r="706" spans="1:7" x14ac:dyDescent="0.2">
      <c r="A706" s="15" t="s">
        <v>360</v>
      </c>
      <c r="B706" s="3">
        <v>0</v>
      </c>
      <c r="C706" s="4">
        <v>0.05</v>
      </c>
      <c r="D706" s="7" t="s">
        <v>16</v>
      </c>
      <c r="E706" s="6" t="s">
        <v>40</v>
      </c>
      <c r="F706" s="17" t="s">
        <v>41</v>
      </c>
      <c r="G706" s="51"/>
    </row>
    <row r="707" spans="1:7" x14ac:dyDescent="0.2">
      <c r="A707" s="15" t="s">
        <v>24</v>
      </c>
      <c r="B707" s="3">
        <v>0</v>
      </c>
      <c r="C707" s="4">
        <v>0</v>
      </c>
      <c r="D707" s="7" t="s">
        <v>12</v>
      </c>
      <c r="E707" s="6" t="s">
        <v>56</v>
      </c>
      <c r="F707" s="17">
        <v>0</v>
      </c>
      <c r="G707" s="51"/>
    </row>
    <row r="708" spans="1:7" x14ac:dyDescent="0.2">
      <c r="A708" s="15" t="s">
        <v>42</v>
      </c>
      <c r="B708" s="9">
        <f>SUBTOTAL(109,B705:B707)</f>
        <v>0.99784455643124148</v>
      </c>
      <c r="C708" s="10">
        <f>SUBTOTAL(109,C705:C707)</f>
        <v>1.03</v>
      </c>
      <c r="D708" s="7"/>
      <c r="E708" s="11"/>
      <c r="F708" s="18"/>
      <c r="G708" s="51"/>
    </row>
    <row r="709" spans="1:7" ht="15" thickBot="1" x14ac:dyDescent="0.25">
      <c r="A709" s="16" t="s">
        <v>43</v>
      </c>
      <c r="B709" s="12">
        <v>0.99121171526671026</v>
      </c>
      <c r="C709" s="4">
        <v>1</v>
      </c>
      <c r="D709" s="13" t="s">
        <v>12</v>
      </c>
      <c r="E709" s="6" t="s">
        <v>221</v>
      </c>
      <c r="F709" s="17" t="s">
        <v>218</v>
      </c>
      <c r="G709" s="51"/>
    </row>
    <row r="710" spans="1:7" ht="26.25" thickBot="1" x14ac:dyDescent="0.25">
      <c r="A710" s="24" t="s">
        <v>46</v>
      </c>
      <c r="B710" s="25"/>
      <c r="C710" s="26">
        <v>2.9999999999999997E-4</v>
      </c>
      <c r="D710" s="25"/>
      <c r="E710" s="25"/>
      <c r="F710" s="27"/>
      <c r="G710" s="51"/>
    </row>
    <row r="711" spans="1:7" ht="15" thickBot="1" x14ac:dyDescent="0.25">
      <c r="A711" s="49" t="s">
        <v>362</v>
      </c>
      <c r="B711" s="49"/>
      <c r="C711" s="49"/>
      <c r="D711" s="49"/>
      <c r="E711" s="49"/>
      <c r="F711" s="49"/>
      <c r="G711" s="51"/>
    </row>
    <row r="712" spans="1:7" ht="15" thickBot="1" x14ac:dyDescent="0.25">
      <c r="A712" s="43" t="s">
        <v>332</v>
      </c>
      <c r="B712" s="43"/>
      <c r="C712" s="43"/>
      <c r="D712" s="43"/>
      <c r="E712" s="43"/>
      <c r="F712" s="43"/>
      <c r="G712" s="51"/>
    </row>
    <row r="713" spans="1:7" x14ac:dyDescent="0.2">
      <c r="A713" s="1" t="s">
        <v>1</v>
      </c>
      <c r="B713" s="44" t="s">
        <v>222</v>
      </c>
      <c r="C713" s="45"/>
      <c r="D713" s="45"/>
      <c r="E713" s="45"/>
      <c r="F713" s="46"/>
      <c r="G713" s="51"/>
    </row>
    <row r="714" spans="1:7" ht="15" thickBot="1" x14ac:dyDescent="0.25">
      <c r="A714" s="2" t="s">
        <v>3</v>
      </c>
      <c r="B714" s="40" t="s">
        <v>223</v>
      </c>
      <c r="C714" s="41"/>
      <c r="D714" s="41"/>
      <c r="E714" s="41"/>
      <c r="F714" s="42"/>
      <c r="G714" s="51"/>
    </row>
    <row r="715" spans="1:7" ht="15" thickBot="1" x14ac:dyDescent="0.25">
      <c r="A715" s="19" t="s">
        <v>5</v>
      </c>
      <c r="B715" s="20" t="s">
        <v>6</v>
      </c>
      <c r="C715" s="21" t="s">
        <v>7</v>
      </c>
      <c r="D715" s="21" t="s">
        <v>8</v>
      </c>
      <c r="E715" s="22" t="s">
        <v>9</v>
      </c>
      <c r="F715" s="23" t="s">
        <v>10</v>
      </c>
      <c r="G715" s="51"/>
    </row>
    <row r="716" spans="1:7" x14ac:dyDescent="0.2">
      <c r="A716" s="14" t="s">
        <v>11</v>
      </c>
      <c r="B716" s="3">
        <v>0.99725904381647501</v>
      </c>
      <c r="C716" s="4">
        <v>0.98</v>
      </c>
      <c r="D716" s="5" t="s">
        <v>12</v>
      </c>
      <c r="E716" s="6" t="s">
        <v>115</v>
      </c>
      <c r="F716" s="17" t="s">
        <v>217</v>
      </c>
      <c r="G716" s="51"/>
    </row>
    <row r="717" spans="1:7" x14ac:dyDescent="0.2">
      <c r="A717" s="15" t="s">
        <v>360</v>
      </c>
      <c r="B717" s="3">
        <v>0</v>
      </c>
      <c r="C717" s="4">
        <v>0.05</v>
      </c>
      <c r="D717" s="7" t="s">
        <v>16</v>
      </c>
      <c r="E717" s="6" t="s">
        <v>40</v>
      </c>
      <c r="F717" s="17" t="s">
        <v>41</v>
      </c>
      <c r="G717" s="51"/>
    </row>
    <row r="718" spans="1:7" x14ac:dyDescent="0.2">
      <c r="A718" s="15" t="s">
        <v>24</v>
      </c>
      <c r="B718" s="3">
        <v>0</v>
      </c>
      <c r="C718" s="4">
        <v>0</v>
      </c>
      <c r="D718" s="7" t="s">
        <v>12</v>
      </c>
      <c r="E718" s="6" t="s">
        <v>56</v>
      </c>
      <c r="F718" s="17">
        <v>0</v>
      </c>
      <c r="G718" s="51"/>
    </row>
    <row r="719" spans="1:7" x14ac:dyDescent="0.2">
      <c r="A719" s="15" t="s">
        <v>42</v>
      </c>
      <c r="B719" s="9">
        <f>SUBTOTAL(109,B716:B718)</f>
        <v>0.99725904381647501</v>
      </c>
      <c r="C719" s="10">
        <f>SUBTOTAL(109,C716:C718)</f>
        <v>1.03</v>
      </c>
      <c r="D719" s="7"/>
      <c r="E719" s="11"/>
      <c r="F719" s="18"/>
      <c r="G719" s="51"/>
    </row>
    <row r="720" spans="1:7" ht="15" thickBot="1" x14ac:dyDescent="0.25">
      <c r="A720" s="16" t="s">
        <v>43</v>
      </c>
      <c r="B720" s="12">
        <v>0.99060071702103059</v>
      </c>
      <c r="C720" s="4">
        <v>1</v>
      </c>
      <c r="D720" s="13" t="s">
        <v>12</v>
      </c>
      <c r="E720" s="6" t="s">
        <v>221</v>
      </c>
      <c r="F720" s="17" t="s">
        <v>218</v>
      </c>
      <c r="G720" s="51"/>
    </row>
    <row r="721" spans="1:7" ht="26.25" thickBot="1" x14ac:dyDescent="0.25">
      <c r="A721" s="24" t="s">
        <v>46</v>
      </c>
      <c r="B721" s="25"/>
      <c r="C721" s="26">
        <v>2.9999999999999997E-4</v>
      </c>
      <c r="D721" s="25"/>
      <c r="E721" s="25"/>
      <c r="F721" s="27"/>
      <c r="G721" s="51"/>
    </row>
    <row r="722" spans="1:7" ht="15" thickBot="1" x14ac:dyDescent="0.25">
      <c r="A722" s="49" t="s">
        <v>363</v>
      </c>
      <c r="B722" s="49"/>
      <c r="C722" s="49"/>
      <c r="D722" s="49"/>
      <c r="E722" s="49"/>
      <c r="F722" s="49"/>
      <c r="G722" s="51"/>
    </row>
    <row r="723" spans="1:7" ht="15" thickBot="1" x14ac:dyDescent="0.25">
      <c r="A723" s="43" t="s">
        <v>332</v>
      </c>
      <c r="B723" s="43"/>
      <c r="C723" s="43"/>
      <c r="D723" s="43"/>
      <c r="E723" s="43"/>
      <c r="F723" s="43"/>
      <c r="G723" s="51"/>
    </row>
    <row r="724" spans="1:7" x14ac:dyDescent="0.2">
      <c r="A724" s="1" t="s">
        <v>1</v>
      </c>
      <c r="B724" s="44" t="s">
        <v>224</v>
      </c>
      <c r="C724" s="45"/>
      <c r="D724" s="45"/>
      <c r="E724" s="45"/>
      <c r="F724" s="46"/>
      <c r="G724" s="51"/>
    </row>
    <row r="725" spans="1:7" ht="15" thickBot="1" x14ac:dyDescent="0.25">
      <c r="A725" s="2" t="s">
        <v>3</v>
      </c>
      <c r="B725" s="40" t="s">
        <v>225</v>
      </c>
      <c r="C725" s="41"/>
      <c r="D725" s="41"/>
      <c r="E725" s="41"/>
      <c r="F725" s="42"/>
      <c r="G725" s="51"/>
    </row>
    <row r="726" spans="1:7" ht="15" thickBot="1" x14ac:dyDescent="0.25">
      <c r="A726" s="19" t="s">
        <v>5</v>
      </c>
      <c r="B726" s="20" t="s">
        <v>6</v>
      </c>
      <c r="C726" s="21" t="s">
        <v>7</v>
      </c>
      <c r="D726" s="21" t="s">
        <v>8</v>
      </c>
      <c r="E726" s="22" t="s">
        <v>9</v>
      </c>
      <c r="F726" s="23" t="s">
        <v>10</v>
      </c>
      <c r="G726" s="51"/>
    </row>
    <row r="727" spans="1:7" x14ac:dyDescent="0.2">
      <c r="A727" s="14" t="s">
        <v>11</v>
      </c>
      <c r="B727" s="3">
        <v>0.99869854058592822</v>
      </c>
      <c r="C727" s="4">
        <v>0.98</v>
      </c>
      <c r="D727" s="5" t="s">
        <v>12</v>
      </c>
      <c r="E727" s="6" t="s">
        <v>115</v>
      </c>
      <c r="F727" s="17" t="s">
        <v>217</v>
      </c>
      <c r="G727" s="51"/>
    </row>
    <row r="728" spans="1:7" x14ac:dyDescent="0.2">
      <c r="A728" s="15" t="s">
        <v>360</v>
      </c>
      <c r="B728" s="3">
        <v>0</v>
      </c>
      <c r="C728" s="4">
        <v>0.05</v>
      </c>
      <c r="D728" s="7" t="s">
        <v>16</v>
      </c>
      <c r="E728" s="6" t="s">
        <v>40</v>
      </c>
      <c r="F728" s="17" t="s">
        <v>41</v>
      </c>
      <c r="G728" s="51"/>
    </row>
    <row r="729" spans="1:7" x14ac:dyDescent="0.2">
      <c r="A729" s="15" t="s">
        <v>24</v>
      </c>
      <c r="B729" s="3">
        <v>0</v>
      </c>
      <c r="C729" s="4">
        <v>0</v>
      </c>
      <c r="D729" s="7" t="s">
        <v>12</v>
      </c>
      <c r="E729" s="6" t="s">
        <v>56</v>
      </c>
      <c r="F729" s="17">
        <v>0</v>
      </c>
      <c r="G729" s="51"/>
    </row>
    <row r="730" spans="1:7" x14ac:dyDescent="0.2">
      <c r="A730" s="15" t="s">
        <v>42</v>
      </c>
      <c r="B730" s="9">
        <f>SUBTOTAL(109,B727:B729)</f>
        <v>0.99869854058592822</v>
      </c>
      <c r="C730" s="10">
        <f>SUBTOTAL(109,C727:C729)</f>
        <v>1.03</v>
      </c>
      <c r="D730" s="7"/>
      <c r="E730" s="11"/>
      <c r="F730" s="18"/>
      <c r="G730" s="51"/>
    </row>
    <row r="731" spans="1:7" ht="15" thickBot="1" x14ac:dyDescent="0.25">
      <c r="A731" s="16" t="s">
        <v>43</v>
      </c>
      <c r="B731" s="12">
        <v>0.99203057411425866</v>
      </c>
      <c r="C731" s="4">
        <v>1</v>
      </c>
      <c r="D731" s="13" t="s">
        <v>12</v>
      </c>
      <c r="E731" s="6" t="s">
        <v>221</v>
      </c>
      <c r="F731" s="17" t="s">
        <v>218</v>
      </c>
      <c r="G731" s="51"/>
    </row>
    <row r="732" spans="1:7" ht="26.25" thickBot="1" x14ac:dyDescent="0.25">
      <c r="A732" s="24" t="s">
        <v>46</v>
      </c>
      <c r="B732" s="25"/>
      <c r="C732" s="26">
        <v>2.9999999999999997E-4</v>
      </c>
      <c r="D732" s="25"/>
      <c r="E732" s="25"/>
      <c r="F732" s="27"/>
      <c r="G732" s="51"/>
    </row>
    <row r="733" spans="1:7" ht="15" thickBot="1" x14ac:dyDescent="0.25">
      <c r="A733" s="49" t="s">
        <v>364</v>
      </c>
      <c r="B733" s="49"/>
      <c r="C733" s="49"/>
      <c r="D733" s="49"/>
      <c r="E733" s="49"/>
      <c r="F733" s="49"/>
      <c r="G733" s="51"/>
    </row>
    <row r="734" spans="1:7" ht="15" thickBot="1" x14ac:dyDescent="0.25">
      <c r="A734" s="43" t="s">
        <v>332</v>
      </c>
      <c r="B734" s="43"/>
      <c r="C734" s="43"/>
      <c r="D734" s="43"/>
      <c r="E734" s="43"/>
      <c r="F734" s="43"/>
      <c r="G734" s="51"/>
    </row>
    <row r="735" spans="1:7" x14ac:dyDescent="0.2">
      <c r="A735" s="1" t="s">
        <v>1</v>
      </c>
      <c r="B735" s="44" t="s">
        <v>226</v>
      </c>
      <c r="C735" s="45"/>
      <c r="D735" s="45"/>
      <c r="E735" s="45"/>
      <c r="F735" s="46"/>
      <c r="G735" s="51"/>
    </row>
    <row r="736" spans="1:7" ht="15" thickBot="1" x14ac:dyDescent="0.25">
      <c r="A736" s="2" t="s">
        <v>3</v>
      </c>
      <c r="B736" s="40" t="s">
        <v>227</v>
      </c>
      <c r="C736" s="41"/>
      <c r="D736" s="41"/>
      <c r="E736" s="41"/>
      <c r="F736" s="42"/>
      <c r="G736" s="51"/>
    </row>
    <row r="737" spans="1:7" ht="15" thickBot="1" x14ac:dyDescent="0.25">
      <c r="A737" s="19" t="s">
        <v>5</v>
      </c>
      <c r="B737" s="20" t="s">
        <v>6</v>
      </c>
      <c r="C737" s="21" t="s">
        <v>7</v>
      </c>
      <c r="D737" s="21" t="s">
        <v>8</v>
      </c>
      <c r="E737" s="22" t="s">
        <v>9</v>
      </c>
      <c r="F737" s="23" t="s">
        <v>10</v>
      </c>
      <c r="G737" s="51"/>
    </row>
    <row r="738" spans="1:7" x14ac:dyDescent="0.2">
      <c r="A738" s="14" t="s">
        <v>11</v>
      </c>
      <c r="B738" s="3">
        <v>0.99629613087173807</v>
      </c>
      <c r="C738" s="4">
        <v>0.98</v>
      </c>
      <c r="D738" s="5" t="s">
        <v>12</v>
      </c>
      <c r="E738" s="6" t="s">
        <v>115</v>
      </c>
      <c r="F738" s="17" t="s">
        <v>217</v>
      </c>
      <c r="G738" s="51"/>
    </row>
    <row r="739" spans="1:7" x14ac:dyDescent="0.2">
      <c r="A739" s="15" t="s">
        <v>360</v>
      </c>
      <c r="B739" s="3">
        <v>0</v>
      </c>
      <c r="C739" s="4">
        <v>0.05</v>
      </c>
      <c r="D739" s="7" t="s">
        <v>16</v>
      </c>
      <c r="E739" s="6" t="s">
        <v>40</v>
      </c>
      <c r="F739" s="17" t="s">
        <v>41</v>
      </c>
      <c r="G739" s="51"/>
    </row>
    <row r="740" spans="1:7" x14ac:dyDescent="0.2">
      <c r="A740" s="15" t="s">
        <v>24</v>
      </c>
      <c r="B740" s="3">
        <v>0</v>
      </c>
      <c r="C740" s="4">
        <v>0</v>
      </c>
      <c r="D740" s="7" t="s">
        <v>12</v>
      </c>
      <c r="E740" s="6" t="s">
        <v>56</v>
      </c>
      <c r="F740" s="17">
        <v>0</v>
      </c>
      <c r="G740" s="51"/>
    </row>
    <row r="741" spans="1:7" x14ac:dyDescent="0.2">
      <c r="A741" s="15" t="s">
        <v>42</v>
      </c>
      <c r="B741" s="9">
        <f>SUBTOTAL(109,B738:B740)</f>
        <v>0.99629613087173807</v>
      </c>
      <c r="C741" s="10">
        <f>SUBTOTAL(109,C738:C740)</f>
        <v>1.03</v>
      </c>
      <c r="D741" s="7"/>
      <c r="E741" s="11"/>
      <c r="F741" s="18"/>
      <c r="G741" s="51"/>
    </row>
    <row r="742" spans="1:7" ht="15" thickBot="1" x14ac:dyDescent="0.25">
      <c r="A742" s="16" t="s">
        <v>43</v>
      </c>
      <c r="B742" s="12">
        <v>0.98965488973970028</v>
      </c>
      <c r="C742" s="4">
        <v>1</v>
      </c>
      <c r="D742" s="13" t="s">
        <v>12</v>
      </c>
      <c r="E742" s="6" t="s">
        <v>221</v>
      </c>
      <c r="F742" s="17" t="s">
        <v>218</v>
      </c>
      <c r="G742" s="51"/>
    </row>
    <row r="743" spans="1:7" ht="26.25" thickBot="1" x14ac:dyDescent="0.25">
      <c r="A743" s="24" t="s">
        <v>46</v>
      </c>
      <c r="B743" s="25"/>
      <c r="C743" s="26">
        <v>2.9999999999999997E-4</v>
      </c>
      <c r="D743" s="25"/>
      <c r="E743" s="25"/>
      <c r="F743" s="27"/>
      <c r="G743" s="51"/>
    </row>
    <row r="744" spans="1:7" ht="15" thickBot="1" x14ac:dyDescent="0.25">
      <c r="A744" s="49" t="s">
        <v>365</v>
      </c>
      <c r="B744" s="49"/>
      <c r="C744" s="49"/>
      <c r="D744" s="49"/>
      <c r="E744" s="49"/>
      <c r="F744" s="49"/>
      <c r="G744" s="51"/>
    </row>
    <row r="745" spans="1:7" ht="15" thickBot="1" x14ac:dyDescent="0.25">
      <c r="A745" s="43" t="s">
        <v>332</v>
      </c>
      <c r="B745" s="43"/>
      <c r="C745" s="43"/>
      <c r="D745" s="43"/>
      <c r="E745" s="43"/>
      <c r="F745" s="43"/>
      <c r="G745" s="51"/>
    </row>
    <row r="746" spans="1:7" x14ac:dyDescent="0.2">
      <c r="A746" s="1" t="s">
        <v>1</v>
      </c>
      <c r="B746" s="44" t="s">
        <v>228</v>
      </c>
      <c r="C746" s="45"/>
      <c r="D746" s="45"/>
      <c r="E746" s="45"/>
      <c r="F746" s="46"/>
      <c r="G746" s="51"/>
    </row>
    <row r="747" spans="1:7" ht="15" thickBot="1" x14ac:dyDescent="0.25">
      <c r="A747" s="2" t="s">
        <v>3</v>
      </c>
      <c r="B747" s="40" t="s">
        <v>229</v>
      </c>
      <c r="C747" s="41"/>
      <c r="D747" s="41"/>
      <c r="E747" s="41"/>
      <c r="F747" s="42"/>
      <c r="G747" s="51"/>
    </row>
    <row r="748" spans="1:7" ht="15" thickBot="1" x14ac:dyDescent="0.25">
      <c r="A748" s="19" t="s">
        <v>5</v>
      </c>
      <c r="B748" s="20" t="s">
        <v>6</v>
      </c>
      <c r="C748" s="21" t="s">
        <v>7</v>
      </c>
      <c r="D748" s="21" t="s">
        <v>8</v>
      </c>
      <c r="E748" s="22" t="s">
        <v>9</v>
      </c>
      <c r="F748" s="23" t="s">
        <v>10</v>
      </c>
      <c r="G748" s="51"/>
    </row>
    <row r="749" spans="1:7" x14ac:dyDescent="0.2">
      <c r="A749" s="14" t="s">
        <v>11</v>
      </c>
      <c r="B749" s="3">
        <v>0.97688566225810147</v>
      </c>
      <c r="C749" s="4">
        <v>0.98</v>
      </c>
      <c r="D749" s="5" t="s">
        <v>12</v>
      </c>
      <c r="E749" s="6" t="s">
        <v>115</v>
      </c>
      <c r="F749" s="17" t="s">
        <v>217</v>
      </c>
      <c r="G749" s="51"/>
    </row>
    <row r="750" spans="1:7" x14ac:dyDescent="0.2">
      <c r="A750" s="15" t="s">
        <v>360</v>
      </c>
      <c r="B750" s="3">
        <v>0</v>
      </c>
      <c r="C750" s="4">
        <v>0.05</v>
      </c>
      <c r="D750" s="7" t="s">
        <v>16</v>
      </c>
      <c r="E750" s="6" t="s">
        <v>40</v>
      </c>
      <c r="F750" s="17" t="s">
        <v>41</v>
      </c>
      <c r="G750" s="51"/>
    </row>
    <row r="751" spans="1:7" x14ac:dyDescent="0.2">
      <c r="A751" s="15" t="s">
        <v>24</v>
      </c>
      <c r="B751" s="3">
        <v>0</v>
      </c>
      <c r="C751" s="4">
        <v>0</v>
      </c>
      <c r="D751" s="7" t="s">
        <v>12</v>
      </c>
      <c r="E751" s="6" t="s">
        <v>56</v>
      </c>
      <c r="F751" s="17">
        <v>0</v>
      </c>
      <c r="G751" s="51"/>
    </row>
    <row r="752" spans="1:7" x14ac:dyDescent="0.2">
      <c r="A752" s="15" t="s">
        <v>42</v>
      </c>
      <c r="B752" s="9">
        <f>SUBTOTAL(109,B749:B751)</f>
        <v>0.97688566225810147</v>
      </c>
      <c r="C752" s="10">
        <f>SUBTOTAL(109,C749:C751)</f>
        <v>1.03</v>
      </c>
      <c r="D752" s="7"/>
      <c r="E752" s="11"/>
      <c r="F752" s="18"/>
      <c r="G752" s="51"/>
    </row>
    <row r="753" spans="1:7" ht="15" thickBot="1" x14ac:dyDescent="0.25">
      <c r="A753" s="16" t="s">
        <v>43</v>
      </c>
      <c r="B753" s="12">
        <v>0.96788875637683325</v>
      </c>
      <c r="C753" s="4">
        <v>1</v>
      </c>
      <c r="D753" s="13" t="s">
        <v>12</v>
      </c>
      <c r="E753" s="6" t="s">
        <v>221</v>
      </c>
      <c r="F753" s="17" t="s">
        <v>218</v>
      </c>
      <c r="G753" s="51"/>
    </row>
    <row r="754" spans="1:7" ht="26.25" thickBot="1" x14ac:dyDescent="0.25">
      <c r="A754" s="24" t="s">
        <v>46</v>
      </c>
      <c r="B754" s="25"/>
      <c r="C754" s="26">
        <v>2.9999999999999997E-4</v>
      </c>
      <c r="D754" s="25"/>
      <c r="E754" s="25"/>
      <c r="F754" s="27"/>
      <c r="G754" s="51"/>
    </row>
    <row r="755" spans="1:7" ht="15" thickBot="1" x14ac:dyDescent="0.25">
      <c r="A755" s="49" t="s">
        <v>366</v>
      </c>
      <c r="B755" s="49"/>
      <c r="C755" s="49"/>
      <c r="D755" s="49"/>
      <c r="E755" s="49"/>
      <c r="F755" s="49"/>
      <c r="G755" s="51"/>
    </row>
    <row r="756" spans="1:7" ht="15" thickBot="1" x14ac:dyDescent="0.25">
      <c r="A756" s="43" t="s">
        <v>332</v>
      </c>
      <c r="B756" s="43"/>
      <c r="C756" s="43"/>
      <c r="D756" s="43"/>
      <c r="E756" s="43"/>
      <c r="F756" s="43"/>
      <c r="G756" s="51"/>
    </row>
    <row r="757" spans="1:7" x14ac:dyDescent="0.2">
      <c r="A757" s="1" t="s">
        <v>1</v>
      </c>
      <c r="B757" s="44" t="s">
        <v>230</v>
      </c>
      <c r="C757" s="45"/>
      <c r="D757" s="45"/>
      <c r="E757" s="45"/>
      <c r="F757" s="46"/>
      <c r="G757" s="51"/>
    </row>
    <row r="758" spans="1:7" ht="15" thickBot="1" x14ac:dyDescent="0.25">
      <c r="A758" s="2" t="s">
        <v>3</v>
      </c>
      <c r="B758" s="40" t="s">
        <v>231</v>
      </c>
      <c r="C758" s="41"/>
      <c r="D758" s="41"/>
      <c r="E758" s="41"/>
      <c r="F758" s="42"/>
      <c r="G758" s="51"/>
    </row>
    <row r="759" spans="1:7" ht="15" thickBot="1" x14ac:dyDescent="0.25">
      <c r="A759" s="19" t="s">
        <v>5</v>
      </c>
      <c r="B759" s="20" t="s">
        <v>6</v>
      </c>
      <c r="C759" s="21" t="s">
        <v>7</v>
      </c>
      <c r="D759" s="21" t="s">
        <v>8</v>
      </c>
      <c r="E759" s="22" t="s">
        <v>9</v>
      </c>
      <c r="F759" s="23" t="s">
        <v>10</v>
      </c>
      <c r="G759" s="51"/>
    </row>
    <row r="760" spans="1:7" x14ac:dyDescent="0.2">
      <c r="A760" s="14" t="s">
        <v>11</v>
      </c>
      <c r="B760" s="3">
        <v>0.96991700982127027</v>
      </c>
      <c r="C760" s="4">
        <v>0.98</v>
      </c>
      <c r="D760" s="5" t="s">
        <v>12</v>
      </c>
      <c r="E760" s="6" t="s">
        <v>115</v>
      </c>
      <c r="F760" s="17" t="s">
        <v>232</v>
      </c>
      <c r="G760" s="51"/>
    </row>
    <row r="761" spans="1:7" x14ac:dyDescent="0.2">
      <c r="A761" s="15" t="s">
        <v>360</v>
      </c>
      <c r="B761" s="3">
        <v>0</v>
      </c>
      <c r="C761" s="4">
        <v>0.05</v>
      </c>
      <c r="D761" s="7" t="s">
        <v>16</v>
      </c>
      <c r="E761" s="6" t="s">
        <v>40</v>
      </c>
      <c r="F761" s="17" t="s">
        <v>41</v>
      </c>
      <c r="G761" s="51"/>
    </row>
    <row r="762" spans="1:7" x14ac:dyDescent="0.2">
      <c r="A762" s="15" t="s">
        <v>24</v>
      </c>
      <c r="B762" s="3">
        <v>0</v>
      </c>
      <c r="C762" s="4">
        <v>0</v>
      </c>
      <c r="D762" s="7" t="s">
        <v>12</v>
      </c>
      <c r="E762" s="6" t="s">
        <v>56</v>
      </c>
      <c r="F762" s="17">
        <v>0</v>
      </c>
      <c r="G762" s="51"/>
    </row>
    <row r="763" spans="1:7" x14ac:dyDescent="0.2">
      <c r="A763" s="15" t="s">
        <v>42</v>
      </c>
      <c r="B763" s="9">
        <f>SUBTOTAL(109,B760:B762)</f>
        <v>0.96991700982127027</v>
      </c>
      <c r="C763" s="10">
        <f>SUBTOTAL(109,C760:C762)</f>
        <v>1.03</v>
      </c>
      <c r="D763" s="7"/>
      <c r="E763" s="11"/>
      <c r="F763" s="18"/>
      <c r="G763" s="51"/>
    </row>
    <row r="764" spans="1:7" ht="15" thickBot="1" x14ac:dyDescent="0.25">
      <c r="A764" s="16" t="s">
        <v>43</v>
      </c>
      <c r="B764" s="12">
        <v>4.6647154450999602E-2</v>
      </c>
      <c r="C764" s="4">
        <v>0.06</v>
      </c>
      <c r="D764" s="13" t="s">
        <v>12</v>
      </c>
      <c r="E764" s="6" t="s">
        <v>64</v>
      </c>
      <c r="F764" s="17" t="s">
        <v>218</v>
      </c>
      <c r="G764" s="51"/>
    </row>
    <row r="765" spans="1:7" ht="26.25" thickBot="1" x14ac:dyDescent="0.25">
      <c r="A765" s="24" t="s">
        <v>46</v>
      </c>
      <c r="B765" s="25"/>
      <c r="C765" s="26">
        <v>2.9999999999999997E-4</v>
      </c>
      <c r="D765" s="25"/>
      <c r="E765" s="25"/>
      <c r="F765" s="27"/>
      <c r="G765" s="51"/>
    </row>
    <row r="766" spans="1:7" ht="15" thickBot="1" x14ac:dyDescent="0.25">
      <c r="A766" s="49" t="s">
        <v>367</v>
      </c>
      <c r="B766" s="49"/>
      <c r="C766" s="49"/>
      <c r="D766" s="49"/>
      <c r="E766" s="49"/>
      <c r="F766" s="49"/>
      <c r="G766" s="51"/>
    </row>
    <row r="767" spans="1:7" ht="15" thickBot="1" x14ac:dyDescent="0.25">
      <c r="A767" s="43" t="s">
        <v>332</v>
      </c>
      <c r="B767" s="43"/>
      <c r="C767" s="43"/>
      <c r="D767" s="43"/>
      <c r="E767" s="43"/>
      <c r="F767" s="43"/>
      <c r="G767" s="51"/>
    </row>
    <row r="768" spans="1:7" x14ac:dyDescent="0.2">
      <c r="A768" s="1" t="s">
        <v>1</v>
      </c>
      <c r="B768" s="44" t="s">
        <v>233</v>
      </c>
      <c r="C768" s="45"/>
      <c r="D768" s="45"/>
      <c r="E768" s="45"/>
      <c r="F768" s="46"/>
      <c r="G768" s="51"/>
    </row>
    <row r="769" spans="1:7" ht="15" thickBot="1" x14ac:dyDescent="0.25">
      <c r="A769" s="2" t="s">
        <v>3</v>
      </c>
      <c r="B769" s="40" t="s">
        <v>234</v>
      </c>
      <c r="C769" s="41"/>
      <c r="D769" s="41"/>
      <c r="E769" s="41"/>
      <c r="F769" s="42"/>
      <c r="G769" s="51"/>
    </row>
    <row r="770" spans="1:7" ht="15" thickBot="1" x14ac:dyDescent="0.25">
      <c r="A770" s="19" t="s">
        <v>5</v>
      </c>
      <c r="B770" s="20" t="s">
        <v>6</v>
      </c>
      <c r="C770" s="21" t="s">
        <v>7</v>
      </c>
      <c r="D770" s="21" t="s">
        <v>8</v>
      </c>
      <c r="E770" s="22" t="s">
        <v>9</v>
      </c>
      <c r="F770" s="23" t="s">
        <v>10</v>
      </c>
      <c r="G770" s="51"/>
    </row>
    <row r="771" spans="1:7" x14ac:dyDescent="0.2">
      <c r="A771" s="14" t="s">
        <v>11</v>
      </c>
      <c r="B771" s="3">
        <v>0.68820331545988345</v>
      </c>
      <c r="C771" s="4">
        <v>0.7</v>
      </c>
      <c r="D771" s="5" t="s">
        <v>12</v>
      </c>
      <c r="E771" s="6" t="s">
        <v>120</v>
      </c>
      <c r="F771" s="17" t="s">
        <v>232</v>
      </c>
      <c r="G771" s="51"/>
    </row>
    <row r="772" spans="1:7" x14ac:dyDescent="0.2">
      <c r="A772" s="15" t="s">
        <v>360</v>
      </c>
      <c r="B772" s="3">
        <v>0</v>
      </c>
      <c r="C772" s="4">
        <v>0.05</v>
      </c>
      <c r="D772" s="7" t="s">
        <v>16</v>
      </c>
      <c r="E772" s="6" t="s">
        <v>40</v>
      </c>
      <c r="F772" s="17" t="s">
        <v>41</v>
      </c>
      <c r="G772" s="51"/>
    </row>
    <row r="773" spans="1:7" x14ac:dyDescent="0.2">
      <c r="A773" s="15" t="s">
        <v>22</v>
      </c>
      <c r="B773" s="3">
        <v>0.24672614765746029</v>
      </c>
      <c r="C773" s="4">
        <v>0.28000000000000003</v>
      </c>
      <c r="D773" s="7" t="s">
        <v>16</v>
      </c>
      <c r="E773" s="6" t="s">
        <v>78</v>
      </c>
      <c r="F773" s="17" t="s">
        <v>79</v>
      </c>
      <c r="G773" s="51"/>
    </row>
    <row r="774" spans="1:7" x14ac:dyDescent="0.2">
      <c r="A774" s="15" t="s">
        <v>24</v>
      </c>
      <c r="B774" s="3">
        <v>0</v>
      </c>
      <c r="C774" s="4">
        <v>0</v>
      </c>
      <c r="D774" s="7" t="s">
        <v>12</v>
      </c>
      <c r="E774" s="6" t="s">
        <v>56</v>
      </c>
      <c r="F774" s="17">
        <v>0</v>
      </c>
      <c r="G774" s="51"/>
    </row>
    <row r="775" spans="1:7" x14ac:dyDescent="0.2">
      <c r="A775" s="15" t="s">
        <v>42</v>
      </c>
      <c r="B775" s="9">
        <f>SUBTOTAL(109,B771:B774)</f>
        <v>0.93492946311734371</v>
      </c>
      <c r="C775" s="10">
        <f>SUBTOTAL(109,C771:C774)</f>
        <v>1.03</v>
      </c>
      <c r="D775" s="7"/>
      <c r="E775" s="11"/>
      <c r="F775" s="18"/>
      <c r="G775" s="51"/>
    </row>
    <row r="776" spans="1:7" ht="15" thickBot="1" x14ac:dyDescent="0.25">
      <c r="A776" s="16" t="s">
        <v>43</v>
      </c>
      <c r="B776" s="12">
        <v>3.3064476270137574E-2</v>
      </c>
      <c r="C776" s="4">
        <v>0.06</v>
      </c>
      <c r="D776" s="13" t="s">
        <v>12</v>
      </c>
      <c r="E776" s="6" t="s">
        <v>64</v>
      </c>
      <c r="F776" s="17" t="s">
        <v>218</v>
      </c>
      <c r="G776" s="51"/>
    </row>
    <row r="777" spans="1:7" ht="26.25" thickBot="1" x14ac:dyDescent="0.25">
      <c r="A777" s="24" t="s">
        <v>46</v>
      </c>
      <c r="B777" s="25"/>
      <c r="C777" s="26">
        <v>2.9999999999999997E-4</v>
      </c>
      <c r="D777" s="25"/>
      <c r="E777" s="25"/>
      <c r="F777" s="27"/>
      <c r="G777" s="51"/>
    </row>
    <row r="778" spans="1:7" ht="15" thickBot="1" x14ac:dyDescent="0.25">
      <c r="A778" s="49" t="s">
        <v>368</v>
      </c>
      <c r="B778" s="49"/>
      <c r="C778" s="49"/>
      <c r="D778" s="49"/>
      <c r="E778" s="49"/>
      <c r="F778" s="49"/>
      <c r="G778" s="51"/>
    </row>
    <row r="779" spans="1:7" ht="15" thickBot="1" x14ac:dyDescent="0.25">
      <c r="A779" s="43" t="s">
        <v>332</v>
      </c>
      <c r="B779" s="43"/>
      <c r="C779" s="43"/>
      <c r="D779" s="43"/>
      <c r="E779" s="43"/>
      <c r="F779" s="43"/>
      <c r="G779" s="51"/>
    </row>
    <row r="780" spans="1:7" x14ac:dyDescent="0.2">
      <c r="A780" s="1" t="s">
        <v>1</v>
      </c>
      <c r="B780" s="44" t="s">
        <v>235</v>
      </c>
      <c r="C780" s="45"/>
      <c r="D780" s="45"/>
      <c r="E780" s="45"/>
      <c r="F780" s="46"/>
      <c r="G780" s="51"/>
    </row>
    <row r="781" spans="1:7" ht="15" thickBot="1" x14ac:dyDescent="0.25">
      <c r="A781" s="2" t="s">
        <v>3</v>
      </c>
      <c r="B781" s="40" t="s">
        <v>236</v>
      </c>
      <c r="C781" s="41"/>
      <c r="D781" s="41"/>
      <c r="E781" s="41"/>
      <c r="F781" s="42"/>
      <c r="G781" s="51"/>
    </row>
    <row r="782" spans="1:7" ht="15" thickBot="1" x14ac:dyDescent="0.25">
      <c r="A782" s="19" t="s">
        <v>5</v>
      </c>
      <c r="B782" s="20" t="s">
        <v>6</v>
      </c>
      <c r="C782" s="21" t="s">
        <v>7</v>
      </c>
      <c r="D782" s="21" t="s">
        <v>8</v>
      </c>
      <c r="E782" s="22" t="s">
        <v>9</v>
      </c>
      <c r="F782" s="23" t="s">
        <v>10</v>
      </c>
      <c r="G782" s="51"/>
    </row>
    <row r="783" spans="1:7" x14ac:dyDescent="0.2">
      <c r="A783" s="14" t="s">
        <v>11</v>
      </c>
      <c r="B783" s="3">
        <v>0.96507788464844435</v>
      </c>
      <c r="C783" s="4">
        <v>0.98</v>
      </c>
      <c r="D783" s="5" t="s">
        <v>12</v>
      </c>
      <c r="E783" s="6" t="s">
        <v>115</v>
      </c>
      <c r="F783" s="17" t="s">
        <v>232</v>
      </c>
      <c r="G783" s="51"/>
    </row>
    <row r="784" spans="1:7" x14ac:dyDescent="0.2">
      <c r="A784" s="15" t="s">
        <v>360</v>
      </c>
      <c r="B784" s="3">
        <v>0</v>
      </c>
      <c r="C784" s="4">
        <v>0.05</v>
      </c>
      <c r="D784" s="7" t="s">
        <v>16</v>
      </c>
      <c r="E784" s="6" t="s">
        <v>40</v>
      </c>
      <c r="F784" s="17" t="s">
        <v>41</v>
      </c>
      <c r="G784" s="51"/>
    </row>
    <row r="785" spans="1:7" x14ac:dyDescent="0.2">
      <c r="A785" s="15" t="s">
        <v>24</v>
      </c>
      <c r="B785" s="3">
        <v>0</v>
      </c>
      <c r="C785" s="4">
        <v>0</v>
      </c>
      <c r="D785" s="7" t="s">
        <v>12</v>
      </c>
      <c r="E785" s="6" t="s">
        <v>56</v>
      </c>
      <c r="F785" s="17">
        <v>0</v>
      </c>
      <c r="G785" s="51"/>
    </row>
    <row r="786" spans="1:7" x14ac:dyDescent="0.2">
      <c r="A786" s="15" t="s">
        <v>42</v>
      </c>
      <c r="B786" s="9">
        <f>SUBTOTAL(109,B783:B785)</f>
        <v>0.96507788464844435</v>
      </c>
      <c r="C786" s="10">
        <f>SUBTOTAL(109,C783:C785)</f>
        <v>1.03</v>
      </c>
      <c r="D786" s="7"/>
      <c r="E786" s="11"/>
      <c r="F786" s="18"/>
      <c r="G786" s="51"/>
    </row>
    <row r="787" spans="1:7" ht="15" thickBot="1" x14ac:dyDescent="0.25">
      <c r="A787" s="16" t="s">
        <v>43</v>
      </c>
      <c r="B787" s="12">
        <v>4.6366813191796856E-2</v>
      </c>
      <c r="C787" s="4">
        <v>0.06</v>
      </c>
      <c r="D787" s="13" t="s">
        <v>12</v>
      </c>
      <c r="E787" s="6" t="s">
        <v>64</v>
      </c>
      <c r="F787" s="17" t="s">
        <v>218</v>
      </c>
      <c r="G787" s="51"/>
    </row>
    <row r="788" spans="1:7" ht="26.25" thickBot="1" x14ac:dyDescent="0.25">
      <c r="A788" s="24" t="s">
        <v>46</v>
      </c>
      <c r="B788" s="25"/>
      <c r="C788" s="26">
        <v>2.9999999999999997E-4</v>
      </c>
      <c r="D788" s="25"/>
      <c r="E788" s="25"/>
      <c r="F788" s="27"/>
      <c r="G788" s="51"/>
    </row>
    <row r="789" spans="1:7" ht="15" thickBot="1" x14ac:dyDescent="0.25">
      <c r="A789" s="49" t="s">
        <v>369</v>
      </c>
      <c r="B789" s="49"/>
      <c r="C789" s="49"/>
      <c r="D789" s="49"/>
      <c r="E789" s="49"/>
      <c r="F789" s="49"/>
      <c r="G789" s="51"/>
    </row>
    <row r="790" spans="1:7" ht="15" thickBot="1" x14ac:dyDescent="0.25">
      <c r="A790" s="43" t="s">
        <v>332</v>
      </c>
      <c r="B790" s="43"/>
      <c r="C790" s="43"/>
      <c r="D790" s="43"/>
      <c r="E790" s="43"/>
      <c r="F790" s="43"/>
      <c r="G790" s="51"/>
    </row>
    <row r="791" spans="1:7" x14ac:dyDescent="0.2">
      <c r="A791" s="1" t="s">
        <v>1</v>
      </c>
      <c r="B791" s="44" t="s">
        <v>237</v>
      </c>
      <c r="C791" s="45"/>
      <c r="D791" s="45"/>
      <c r="E791" s="45"/>
      <c r="F791" s="46"/>
      <c r="G791" s="51"/>
    </row>
    <row r="792" spans="1:7" ht="15" thickBot="1" x14ac:dyDescent="0.25">
      <c r="A792" s="2" t="s">
        <v>3</v>
      </c>
      <c r="B792" s="40" t="s">
        <v>238</v>
      </c>
      <c r="C792" s="41"/>
      <c r="D792" s="41"/>
      <c r="E792" s="41"/>
      <c r="F792" s="42"/>
      <c r="G792" s="51"/>
    </row>
    <row r="793" spans="1:7" ht="15" thickBot="1" x14ac:dyDescent="0.25">
      <c r="A793" s="19" t="s">
        <v>5</v>
      </c>
      <c r="B793" s="20" t="s">
        <v>6</v>
      </c>
      <c r="C793" s="21" t="s">
        <v>7</v>
      </c>
      <c r="D793" s="21" t="s">
        <v>8</v>
      </c>
      <c r="E793" s="22" t="s">
        <v>9</v>
      </c>
      <c r="F793" s="23" t="s">
        <v>10</v>
      </c>
      <c r="G793" s="51"/>
    </row>
    <row r="794" spans="1:7" x14ac:dyDescent="0.2">
      <c r="A794" s="14" t="s">
        <v>11</v>
      </c>
      <c r="B794" s="3">
        <v>0.99422939842191116</v>
      </c>
      <c r="C794" s="4">
        <v>0.98</v>
      </c>
      <c r="D794" s="5" t="s">
        <v>12</v>
      </c>
      <c r="E794" s="6" t="s">
        <v>115</v>
      </c>
      <c r="F794" s="17" t="s">
        <v>232</v>
      </c>
      <c r="G794" s="51"/>
    </row>
    <row r="795" spans="1:7" x14ac:dyDescent="0.2">
      <c r="A795" s="15" t="s">
        <v>360</v>
      </c>
      <c r="B795" s="3">
        <v>0</v>
      </c>
      <c r="C795" s="4">
        <v>0.05</v>
      </c>
      <c r="D795" s="7" t="s">
        <v>16</v>
      </c>
      <c r="E795" s="6" t="s">
        <v>40</v>
      </c>
      <c r="F795" s="17" t="s">
        <v>41</v>
      </c>
      <c r="G795" s="51"/>
    </row>
    <row r="796" spans="1:7" x14ac:dyDescent="0.2">
      <c r="A796" s="15" t="s">
        <v>24</v>
      </c>
      <c r="B796" s="3">
        <v>0</v>
      </c>
      <c r="C796" s="4">
        <v>0</v>
      </c>
      <c r="D796" s="7" t="s">
        <v>12</v>
      </c>
      <c r="E796" s="6" t="s">
        <v>56</v>
      </c>
      <c r="F796" s="17">
        <v>0</v>
      </c>
      <c r="G796" s="51"/>
    </row>
    <row r="797" spans="1:7" x14ac:dyDescent="0.2">
      <c r="A797" s="15" t="s">
        <v>42</v>
      </c>
      <c r="B797" s="9">
        <f>SUBTOTAL(109,B794:B796)</f>
        <v>0.99422939842191116</v>
      </c>
      <c r="C797" s="10">
        <f>SUBTOTAL(109,C794:C796)</f>
        <v>1.03</v>
      </c>
      <c r="D797" s="7"/>
      <c r="E797" s="11"/>
      <c r="F797" s="18"/>
      <c r="G797" s="51"/>
    </row>
    <row r="798" spans="1:7" ht="15" thickBot="1" x14ac:dyDescent="0.25">
      <c r="A798" s="16" t="s">
        <v>43</v>
      </c>
      <c r="B798" s="12">
        <v>4.7767386984744989E-2</v>
      </c>
      <c r="C798" s="4">
        <v>0.06</v>
      </c>
      <c r="D798" s="13" t="s">
        <v>12</v>
      </c>
      <c r="E798" s="6" t="s">
        <v>64</v>
      </c>
      <c r="F798" s="17" t="s">
        <v>218</v>
      </c>
      <c r="G798" s="51"/>
    </row>
    <row r="799" spans="1:7" ht="26.25" thickBot="1" x14ac:dyDescent="0.25">
      <c r="A799" s="24" t="s">
        <v>46</v>
      </c>
      <c r="B799" s="25"/>
      <c r="C799" s="26">
        <v>2.9999999999999997E-4</v>
      </c>
      <c r="D799" s="25"/>
      <c r="E799" s="25"/>
      <c r="F799" s="27"/>
      <c r="G799" s="51"/>
    </row>
    <row r="800" spans="1:7" ht="15" thickBot="1" x14ac:dyDescent="0.25">
      <c r="A800" s="49" t="s">
        <v>370</v>
      </c>
      <c r="B800" s="49"/>
      <c r="C800" s="49"/>
      <c r="D800" s="49"/>
      <c r="E800" s="49"/>
      <c r="F800" s="49"/>
      <c r="G800" s="51"/>
    </row>
    <row r="801" spans="1:7" ht="15" thickBot="1" x14ac:dyDescent="0.25">
      <c r="A801" s="43" t="s">
        <v>332</v>
      </c>
      <c r="B801" s="43"/>
      <c r="C801" s="43"/>
      <c r="D801" s="43"/>
      <c r="E801" s="43"/>
      <c r="F801" s="43"/>
      <c r="G801" s="51"/>
    </row>
    <row r="802" spans="1:7" x14ac:dyDescent="0.2">
      <c r="A802" s="1" t="s">
        <v>1</v>
      </c>
      <c r="B802" s="44" t="s">
        <v>239</v>
      </c>
      <c r="C802" s="45"/>
      <c r="D802" s="45"/>
      <c r="E802" s="45"/>
      <c r="F802" s="46"/>
      <c r="G802" s="51"/>
    </row>
    <row r="803" spans="1:7" ht="15" thickBot="1" x14ac:dyDescent="0.25">
      <c r="A803" s="2" t="s">
        <v>3</v>
      </c>
      <c r="B803" s="40" t="s">
        <v>240</v>
      </c>
      <c r="C803" s="41"/>
      <c r="D803" s="41"/>
      <c r="E803" s="41"/>
      <c r="F803" s="42"/>
      <c r="G803" s="51"/>
    </row>
    <row r="804" spans="1:7" ht="15" thickBot="1" x14ac:dyDescent="0.25">
      <c r="A804" s="19" t="s">
        <v>5</v>
      </c>
      <c r="B804" s="20" t="s">
        <v>6</v>
      </c>
      <c r="C804" s="21" t="s">
        <v>7</v>
      </c>
      <c r="D804" s="21" t="s">
        <v>8</v>
      </c>
      <c r="E804" s="22" t="s">
        <v>9</v>
      </c>
      <c r="F804" s="23" t="s">
        <v>10</v>
      </c>
      <c r="G804" s="51"/>
    </row>
    <row r="805" spans="1:7" x14ac:dyDescent="0.2">
      <c r="A805" s="14" t="s">
        <v>11</v>
      </c>
      <c r="B805" s="3">
        <v>0.97358611546146778</v>
      </c>
      <c r="C805" s="4">
        <v>0.98</v>
      </c>
      <c r="D805" s="5" t="s">
        <v>12</v>
      </c>
      <c r="E805" s="6" t="s">
        <v>115</v>
      </c>
      <c r="F805" s="17" t="s">
        <v>232</v>
      </c>
      <c r="G805" s="51"/>
    </row>
    <row r="806" spans="1:7" x14ac:dyDescent="0.2">
      <c r="A806" s="15" t="s">
        <v>360</v>
      </c>
      <c r="B806" s="3">
        <v>0</v>
      </c>
      <c r="C806" s="4">
        <v>0.05</v>
      </c>
      <c r="D806" s="7" t="s">
        <v>16</v>
      </c>
      <c r="E806" s="6" t="s">
        <v>40</v>
      </c>
      <c r="F806" s="17" t="s">
        <v>41</v>
      </c>
      <c r="G806" s="51"/>
    </row>
    <row r="807" spans="1:7" x14ac:dyDescent="0.2">
      <c r="A807" s="15" t="s">
        <v>24</v>
      </c>
      <c r="B807" s="3">
        <v>0</v>
      </c>
      <c r="C807" s="4">
        <v>0</v>
      </c>
      <c r="D807" s="7" t="s">
        <v>12</v>
      </c>
      <c r="E807" s="6" t="s">
        <v>56</v>
      </c>
      <c r="F807" s="17">
        <v>0</v>
      </c>
      <c r="G807" s="51"/>
    </row>
    <row r="808" spans="1:7" x14ac:dyDescent="0.2">
      <c r="A808" s="15" t="s">
        <v>42</v>
      </c>
      <c r="B808" s="9">
        <f>SUBTOTAL(109,B805:B807)</f>
        <v>0.97358611546146778</v>
      </c>
      <c r="C808" s="10">
        <f>SUBTOTAL(109,C805:C807)</f>
        <v>1.03</v>
      </c>
      <c r="D808" s="7"/>
      <c r="E808" s="11"/>
      <c r="F808" s="18"/>
      <c r="G808" s="51"/>
    </row>
    <row r="809" spans="1:7" ht="15" thickBot="1" x14ac:dyDescent="0.25">
      <c r="A809" s="16" t="s">
        <v>43</v>
      </c>
      <c r="B809" s="12">
        <v>4.6775588022279983E-2</v>
      </c>
      <c r="C809" s="4">
        <v>0.06</v>
      </c>
      <c r="D809" s="13" t="s">
        <v>12</v>
      </c>
      <c r="E809" s="6" t="s">
        <v>64</v>
      </c>
      <c r="F809" s="17" t="s">
        <v>218</v>
      </c>
      <c r="G809" s="51"/>
    </row>
    <row r="810" spans="1:7" ht="26.25" thickBot="1" x14ac:dyDescent="0.25">
      <c r="A810" s="24" t="s">
        <v>46</v>
      </c>
      <c r="B810" s="25"/>
      <c r="C810" s="26">
        <v>2.9999999999999997E-4</v>
      </c>
      <c r="D810" s="25"/>
      <c r="E810" s="25"/>
      <c r="F810" s="27"/>
      <c r="G810" s="51"/>
    </row>
    <row r="811" spans="1:7" ht="15" thickBot="1" x14ac:dyDescent="0.25">
      <c r="A811" s="49" t="s">
        <v>371</v>
      </c>
      <c r="B811" s="49"/>
      <c r="C811" s="49"/>
      <c r="D811" s="49"/>
      <c r="E811" s="49"/>
      <c r="F811" s="49"/>
      <c r="G811" s="51"/>
    </row>
    <row r="812" spans="1:7" ht="15" thickBot="1" x14ac:dyDescent="0.25">
      <c r="A812" s="43" t="s">
        <v>332</v>
      </c>
      <c r="B812" s="43"/>
      <c r="C812" s="43"/>
      <c r="D812" s="43"/>
      <c r="E812" s="43"/>
      <c r="F812" s="43"/>
      <c r="G812" s="51"/>
    </row>
    <row r="813" spans="1:7" x14ac:dyDescent="0.2">
      <c r="A813" s="1" t="s">
        <v>1</v>
      </c>
      <c r="B813" s="44" t="s">
        <v>241</v>
      </c>
      <c r="C813" s="45"/>
      <c r="D813" s="45"/>
      <c r="E813" s="45"/>
      <c r="F813" s="46"/>
      <c r="G813" s="51"/>
    </row>
    <row r="814" spans="1:7" ht="15" thickBot="1" x14ac:dyDescent="0.25">
      <c r="A814" s="2" t="s">
        <v>3</v>
      </c>
      <c r="B814" s="40" t="s">
        <v>242</v>
      </c>
      <c r="C814" s="41"/>
      <c r="D814" s="41"/>
      <c r="E814" s="41"/>
      <c r="F814" s="42"/>
      <c r="G814" s="51"/>
    </row>
    <row r="815" spans="1:7" ht="15" thickBot="1" x14ac:dyDescent="0.25">
      <c r="A815" s="19" t="s">
        <v>5</v>
      </c>
      <c r="B815" s="20" t="s">
        <v>6</v>
      </c>
      <c r="C815" s="21" t="s">
        <v>7</v>
      </c>
      <c r="D815" s="21" t="s">
        <v>8</v>
      </c>
      <c r="E815" s="22" t="s">
        <v>9</v>
      </c>
      <c r="F815" s="23" t="s">
        <v>10</v>
      </c>
      <c r="G815" s="51"/>
    </row>
    <row r="816" spans="1:7" ht="140.25" x14ac:dyDescent="0.2">
      <c r="A816" s="14" t="s">
        <v>11</v>
      </c>
      <c r="B816" s="3">
        <v>0.69438769762579655</v>
      </c>
      <c r="C816" s="4">
        <v>0.7</v>
      </c>
      <c r="D816" s="5" t="s">
        <v>12</v>
      </c>
      <c r="E816" s="6" t="s">
        <v>120</v>
      </c>
      <c r="F816" s="53" t="s">
        <v>404</v>
      </c>
      <c r="G816" s="51"/>
    </row>
    <row r="817" spans="1:7" x14ac:dyDescent="0.2">
      <c r="A817" s="15" t="s">
        <v>360</v>
      </c>
      <c r="B817" s="3">
        <v>0</v>
      </c>
      <c r="C817" s="4">
        <v>0.05</v>
      </c>
      <c r="D817" s="7" t="s">
        <v>16</v>
      </c>
      <c r="E817" s="6" t="s">
        <v>40</v>
      </c>
      <c r="F817" s="17" t="s">
        <v>41</v>
      </c>
      <c r="G817" s="51"/>
    </row>
    <row r="818" spans="1:7" x14ac:dyDescent="0.2">
      <c r="A818" s="15" t="s">
        <v>22</v>
      </c>
      <c r="B818" s="3">
        <v>0.26114928173716401</v>
      </c>
      <c r="C818" s="4">
        <v>0.28000000000000003</v>
      </c>
      <c r="D818" s="7" t="s">
        <v>16</v>
      </c>
      <c r="E818" s="6" t="s">
        <v>78</v>
      </c>
      <c r="F818" s="17" t="s">
        <v>243</v>
      </c>
      <c r="G818" s="51"/>
    </row>
    <row r="819" spans="1:7" x14ac:dyDescent="0.2">
      <c r="A819" s="15" t="s">
        <v>24</v>
      </c>
      <c r="B819" s="3">
        <v>0</v>
      </c>
      <c r="C819" s="4">
        <v>0</v>
      </c>
      <c r="D819" s="7" t="s">
        <v>12</v>
      </c>
      <c r="E819" s="6" t="s">
        <v>56</v>
      </c>
      <c r="F819" s="17">
        <v>0</v>
      </c>
      <c r="G819" s="51"/>
    </row>
    <row r="820" spans="1:7" x14ac:dyDescent="0.2">
      <c r="A820" s="15" t="s">
        <v>42</v>
      </c>
      <c r="B820" s="9">
        <f>SUBTOTAL(109,B816:B819)</f>
        <v>0.95553697936296056</v>
      </c>
      <c r="C820" s="10">
        <f>SUBTOTAL(109,C816:C819)</f>
        <v>1.03</v>
      </c>
      <c r="D820" s="7"/>
      <c r="E820" s="11"/>
      <c r="F820" s="18"/>
      <c r="G820" s="51"/>
    </row>
    <row r="821" spans="1:7" ht="15" thickBot="1" x14ac:dyDescent="0.25">
      <c r="A821" s="16" t="s">
        <v>43</v>
      </c>
      <c r="B821" s="12">
        <v>2.014559397625533E-2</v>
      </c>
      <c r="C821" s="4">
        <v>0</v>
      </c>
      <c r="D821" s="13" t="s">
        <v>12</v>
      </c>
      <c r="E821" s="6" t="s">
        <v>56</v>
      </c>
      <c r="F821" s="17" t="s">
        <v>218</v>
      </c>
      <c r="G821" s="51"/>
    </row>
    <row r="822" spans="1:7" ht="26.25" thickBot="1" x14ac:dyDescent="0.25">
      <c r="A822" s="24" t="s">
        <v>46</v>
      </c>
      <c r="B822" s="25"/>
      <c r="C822" s="26">
        <v>5.0000000000000001E-4</v>
      </c>
      <c r="D822" s="25"/>
      <c r="E822" s="25"/>
      <c r="F822" s="27"/>
      <c r="G822" s="51"/>
    </row>
    <row r="823" spans="1:7" ht="15" thickBot="1" x14ac:dyDescent="0.25">
      <c r="A823" s="49" t="s">
        <v>372</v>
      </c>
      <c r="B823" s="49"/>
      <c r="C823" s="49"/>
      <c r="D823" s="49"/>
      <c r="E823" s="49"/>
      <c r="F823" s="49"/>
      <c r="G823" s="51"/>
    </row>
    <row r="824" spans="1:7" ht="15" thickBot="1" x14ac:dyDescent="0.25">
      <c r="A824" s="43" t="s">
        <v>332</v>
      </c>
      <c r="B824" s="43"/>
      <c r="C824" s="43"/>
      <c r="D824" s="43"/>
      <c r="E824" s="43"/>
      <c r="F824" s="43"/>
      <c r="G824" s="51"/>
    </row>
    <row r="825" spans="1:7" x14ac:dyDescent="0.2">
      <c r="A825" s="1" t="s">
        <v>1</v>
      </c>
      <c r="B825" s="44" t="s">
        <v>244</v>
      </c>
      <c r="C825" s="45"/>
      <c r="D825" s="45"/>
      <c r="E825" s="45"/>
      <c r="F825" s="46"/>
      <c r="G825" s="51"/>
    </row>
    <row r="826" spans="1:7" ht="15" thickBot="1" x14ac:dyDescent="0.25">
      <c r="A826" s="2" t="s">
        <v>3</v>
      </c>
      <c r="B826" s="40" t="s">
        <v>245</v>
      </c>
      <c r="C826" s="41"/>
      <c r="D826" s="41"/>
      <c r="E826" s="41"/>
      <c r="F826" s="42"/>
      <c r="G826" s="51"/>
    </row>
    <row r="827" spans="1:7" ht="15" thickBot="1" x14ac:dyDescent="0.25">
      <c r="A827" s="19" t="s">
        <v>5</v>
      </c>
      <c r="B827" s="20" t="s">
        <v>6</v>
      </c>
      <c r="C827" s="21" t="s">
        <v>7</v>
      </c>
      <c r="D827" s="21" t="s">
        <v>8</v>
      </c>
      <c r="E827" s="22" t="s">
        <v>9</v>
      </c>
      <c r="F827" s="23" t="s">
        <v>10</v>
      </c>
      <c r="G827" s="51"/>
    </row>
    <row r="828" spans="1:7" ht="140.25" x14ac:dyDescent="0.2">
      <c r="A828" s="14" t="s">
        <v>11</v>
      </c>
      <c r="B828" s="3">
        <v>0.98130327178013965</v>
      </c>
      <c r="C828" s="4">
        <v>0.98</v>
      </c>
      <c r="D828" s="5" t="s">
        <v>12</v>
      </c>
      <c r="E828" s="6" t="s">
        <v>115</v>
      </c>
      <c r="F828" s="53" t="s">
        <v>404</v>
      </c>
      <c r="G828" s="51"/>
    </row>
    <row r="829" spans="1:7" x14ac:dyDescent="0.2">
      <c r="A829" s="15" t="s">
        <v>360</v>
      </c>
      <c r="B829" s="3">
        <v>0</v>
      </c>
      <c r="C829" s="4">
        <v>0.05</v>
      </c>
      <c r="D829" s="7" t="s">
        <v>16</v>
      </c>
      <c r="E829" s="6" t="s">
        <v>40</v>
      </c>
      <c r="F829" s="17" t="s">
        <v>41</v>
      </c>
      <c r="G829" s="51"/>
    </row>
    <row r="830" spans="1:7" x14ac:dyDescent="0.2">
      <c r="A830" s="15" t="s">
        <v>24</v>
      </c>
      <c r="B830" s="3">
        <v>0</v>
      </c>
      <c r="C830" s="4">
        <v>0</v>
      </c>
      <c r="D830" s="7" t="s">
        <v>12</v>
      </c>
      <c r="E830" s="6" t="s">
        <v>56</v>
      </c>
      <c r="F830" s="17">
        <v>0</v>
      </c>
      <c r="G830" s="51"/>
    </row>
    <row r="831" spans="1:7" x14ac:dyDescent="0.2">
      <c r="A831" s="15" t="s">
        <v>42</v>
      </c>
      <c r="B831" s="10">
        <f>SUBTOTAL(109,B828:B830)</f>
        <v>0.98130327178013965</v>
      </c>
      <c r="C831" s="10">
        <f>SUBTOTAL(109,C828:C830)</f>
        <v>1.03</v>
      </c>
      <c r="D831" s="7"/>
      <c r="E831" s="11"/>
      <c r="F831" s="18"/>
      <c r="G831" s="51"/>
    </row>
    <row r="832" spans="1:7" ht="15" thickBot="1" x14ac:dyDescent="0.25">
      <c r="A832" s="16" t="s">
        <v>43</v>
      </c>
      <c r="B832" s="12">
        <v>2.8010167475890153E-2</v>
      </c>
      <c r="C832" s="4">
        <v>0</v>
      </c>
      <c r="D832" s="13" t="s">
        <v>12</v>
      </c>
      <c r="E832" s="6" t="s">
        <v>56</v>
      </c>
      <c r="F832" s="17" t="s">
        <v>218</v>
      </c>
      <c r="G832" s="51"/>
    </row>
    <row r="833" spans="1:7" ht="26.25" thickBot="1" x14ac:dyDescent="0.25">
      <c r="A833" s="24" t="s">
        <v>46</v>
      </c>
      <c r="B833" s="25"/>
      <c r="C833" s="26">
        <v>5.0000000000000001E-4</v>
      </c>
      <c r="D833" s="25"/>
      <c r="E833" s="25"/>
      <c r="F833" s="27"/>
      <c r="G833" s="51"/>
    </row>
    <row r="834" spans="1:7" ht="15" thickBot="1" x14ac:dyDescent="0.25">
      <c r="A834" s="49" t="s">
        <v>373</v>
      </c>
      <c r="B834" s="49"/>
      <c r="C834" s="49"/>
      <c r="D834" s="49"/>
      <c r="E834" s="49"/>
      <c r="F834" s="49"/>
      <c r="G834" s="51"/>
    </row>
    <row r="835" spans="1:7" ht="15" thickBot="1" x14ac:dyDescent="0.25">
      <c r="A835" s="43" t="s">
        <v>332</v>
      </c>
      <c r="B835" s="43"/>
      <c r="C835" s="43"/>
      <c r="D835" s="43"/>
      <c r="E835" s="43"/>
      <c r="F835" s="43"/>
      <c r="G835" s="51"/>
    </row>
    <row r="836" spans="1:7" x14ac:dyDescent="0.2">
      <c r="A836" s="1" t="s">
        <v>1</v>
      </c>
      <c r="B836" s="44" t="s">
        <v>246</v>
      </c>
      <c r="C836" s="45"/>
      <c r="D836" s="45"/>
      <c r="E836" s="45"/>
      <c r="F836" s="46"/>
      <c r="G836" s="51"/>
    </row>
    <row r="837" spans="1:7" ht="15" thickBot="1" x14ac:dyDescent="0.25">
      <c r="A837" s="2" t="s">
        <v>3</v>
      </c>
      <c r="B837" s="40" t="s">
        <v>247</v>
      </c>
      <c r="C837" s="41"/>
      <c r="D837" s="41"/>
      <c r="E837" s="41"/>
      <c r="F837" s="42"/>
      <c r="G837" s="51"/>
    </row>
    <row r="838" spans="1:7" ht="15" thickBot="1" x14ac:dyDescent="0.25">
      <c r="A838" s="19" t="s">
        <v>5</v>
      </c>
      <c r="B838" s="20" t="s">
        <v>6</v>
      </c>
      <c r="C838" s="21" t="s">
        <v>7</v>
      </c>
      <c r="D838" s="21" t="s">
        <v>8</v>
      </c>
      <c r="E838" s="22" t="s">
        <v>9</v>
      </c>
      <c r="F838" s="23" t="s">
        <v>10</v>
      </c>
      <c r="G838" s="51"/>
    </row>
    <row r="839" spans="1:7" ht="140.25" x14ac:dyDescent="0.2">
      <c r="A839" s="14" t="s">
        <v>11</v>
      </c>
      <c r="B839" s="3">
        <v>0.98166569310320628</v>
      </c>
      <c r="C839" s="4">
        <v>0.98</v>
      </c>
      <c r="D839" s="5" t="s">
        <v>12</v>
      </c>
      <c r="E839" s="6" t="s">
        <v>115</v>
      </c>
      <c r="F839" s="53" t="s">
        <v>404</v>
      </c>
      <c r="G839" s="51"/>
    </row>
    <row r="840" spans="1:7" x14ac:dyDescent="0.2">
      <c r="A840" s="15" t="s">
        <v>360</v>
      </c>
      <c r="B840" s="3">
        <v>0</v>
      </c>
      <c r="C840" s="4">
        <v>0.05</v>
      </c>
      <c r="D840" s="7" t="s">
        <v>16</v>
      </c>
      <c r="E840" s="6" t="s">
        <v>40</v>
      </c>
      <c r="F840" s="17" t="s">
        <v>41</v>
      </c>
      <c r="G840" s="51"/>
    </row>
    <row r="841" spans="1:7" x14ac:dyDescent="0.2">
      <c r="A841" s="15" t="s">
        <v>24</v>
      </c>
      <c r="B841" s="3">
        <v>0</v>
      </c>
      <c r="C841" s="4">
        <v>0</v>
      </c>
      <c r="D841" s="7" t="s">
        <v>12</v>
      </c>
      <c r="E841" s="6" t="s">
        <v>56</v>
      </c>
      <c r="F841" s="17">
        <v>0</v>
      </c>
      <c r="G841" s="51"/>
    </row>
    <row r="842" spans="1:7" x14ac:dyDescent="0.2">
      <c r="A842" s="15" t="s">
        <v>42</v>
      </c>
      <c r="B842" s="9">
        <f>SUBTOTAL(109,B839:B841)</f>
        <v>0.98166569310320628</v>
      </c>
      <c r="C842" s="10">
        <f>SUBTOTAL(109,C839:C841)</f>
        <v>1.03</v>
      </c>
      <c r="D842" s="7"/>
      <c r="E842" s="11"/>
      <c r="F842" s="18"/>
      <c r="G842" s="51"/>
    </row>
    <row r="843" spans="1:7" ht="15" thickBot="1" x14ac:dyDescent="0.25">
      <c r="A843" s="16" t="s">
        <v>43</v>
      </c>
      <c r="B843" s="12">
        <v>2.9262572985411271E-2</v>
      </c>
      <c r="C843" s="4">
        <v>0</v>
      </c>
      <c r="D843" s="13" t="s">
        <v>12</v>
      </c>
      <c r="E843" s="6" t="s">
        <v>56</v>
      </c>
      <c r="F843" s="17" t="s">
        <v>218</v>
      </c>
      <c r="G843" s="51"/>
    </row>
    <row r="844" spans="1:7" ht="26.25" thickBot="1" x14ac:dyDescent="0.25">
      <c r="A844" s="24" t="s">
        <v>46</v>
      </c>
      <c r="B844" s="25"/>
      <c r="C844" s="26">
        <v>5.0000000000000001E-4</v>
      </c>
      <c r="D844" s="25"/>
      <c r="E844" s="25"/>
      <c r="F844" s="27"/>
      <c r="G844" s="51"/>
    </row>
    <row r="845" spans="1:7" ht="15" thickBot="1" x14ac:dyDescent="0.25">
      <c r="A845" s="49" t="s">
        <v>374</v>
      </c>
      <c r="B845" s="49"/>
      <c r="C845" s="49"/>
      <c r="D845" s="49"/>
      <c r="E845" s="49"/>
      <c r="F845" s="49"/>
      <c r="G845" s="51"/>
    </row>
    <row r="846" spans="1:7" ht="15" thickBot="1" x14ac:dyDescent="0.25">
      <c r="A846" s="43" t="s">
        <v>332</v>
      </c>
      <c r="B846" s="43"/>
      <c r="C846" s="43"/>
      <c r="D846" s="43"/>
      <c r="E846" s="43"/>
      <c r="F846" s="43"/>
      <c r="G846" s="51"/>
    </row>
    <row r="847" spans="1:7" x14ac:dyDescent="0.2">
      <c r="A847" s="1" t="s">
        <v>1</v>
      </c>
      <c r="B847" s="44" t="s">
        <v>248</v>
      </c>
      <c r="C847" s="45"/>
      <c r="D847" s="45"/>
      <c r="E847" s="45"/>
      <c r="F847" s="46"/>
      <c r="G847" s="51"/>
    </row>
    <row r="848" spans="1:7" ht="15" thickBot="1" x14ac:dyDescent="0.25">
      <c r="A848" s="2" t="s">
        <v>3</v>
      </c>
      <c r="B848" s="40" t="s">
        <v>249</v>
      </c>
      <c r="C848" s="41"/>
      <c r="D848" s="41"/>
      <c r="E848" s="41"/>
      <c r="F848" s="42"/>
      <c r="G848" s="51"/>
    </row>
    <row r="849" spans="1:7" ht="15" thickBot="1" x14ac:dyDescent="0.25">
      <c r="A849" s="19" t="s">
        <v>5</v>
      </c>
      <c r="B849" s="20" t="s">
        <v>6</v>
      </c>
      <c r="C849" s="21" t="s">
        <v>7</v>
      </c>
      <c r="D849" s="21" t="s">
        <v>8</v>
      </c>
      <c r="E849" s="22" t="s">
        <v>9</v>
      </c>
      <c r="F849" s="23" t="s">
        <v>10</v>
      </c>
      <c r="G849" s="51"/>
    </row>
    <row r="850" spans="1:7" ht="140.25" x14ac:dyDescent="0.2">
      <c r="A850" s="14" t="s">
        <v>11</v>
      </c>
      <c r="B850" s="3">
        <v>0.96922766381169734</v>
      </c>
      <c r="C850" s="4">
        <v>0.98</v>
      </c>
      <c r="D850" s="5" t="s">
        <v>12</v>
      </c>
      <c r="E850" s="6" t="s">
        <v>115</v>
      </c>
      <c r="F850" s="53" t="s">
        <v>404</v>
      </c>
      <c r="G850" s="51"/>
    </row>
    <row r="851" spans="1:7" x14ac:dyDescent="0.2">
      <c r="A851" s="15" t="s">
        <v>360</v>
      </c>
      <c r="B851" s="3">
        <v>0</v>
      </c>
      <c r="C851" s="4">
        <v>0.05</v>
      </c>
      <c r="D851" s="7" t="s">
        <v>16</v>
      </c>
      <c r="E851" s="6" t="s">
        <v>40</v>
      </c>
      <c r="F851" s="17" t="s">
        <v>41</v>
      </c>
      <c r="G851" s="51"/>
    </row>
    <row r="852" spans="1:7" x14ac:dyDescent="0.2">
      <c r="A852" s="15" t="s">
        <v>24</v>
      </c>
      <c r="B852" s="3">
        <v>0</v>
      </c>
      <c r="C852" s="4">
        <v>0</v>
      </c>
      <c r="D852" s="7" t="s">
        <v>12</v>
      </c>
      <c r="E852" s="6" t="s">
        <v>56</v>
      </c>
      <c r="F852" s="17">
        <v>0</v>
      </c>
      <c r="G852" s="51"/>
    </row>
    <row r="853" spans="1:7" x14ac:dyDescent="0.2">
      <c r="A853" s="15" t="s">
        <v>42</v>
      </c>
      <c r="B853" s="9">
        <f>SUBTOTAL(109,B850:B852)</f>
        <v>0.96922766381169734</v>
      </c>
      <c r="C853" s="10">
        <f>SUBTOTAL(109,C850:C852)</f>
        <v>1.03</v>
      </c>
      <c r="D853" s="7"/>
      <c r="E853" s="11"/>
      <c r="F853" s="18"/>
      <c r="G853" s="51"/>
    </row>
    <row r="854" spans="1:7" ht="15" thickBot="1" x14ac:dyDescent="0.25">
      <c r="A854" s="16" t="s">
        <v>43</v>
      </c>
      <c r="B854" s="12">
        <v>2.5975320420958816E-2</v>
      </c>
      <c r="C854" s="4">
        <v>0</v>
      </c>
      <c r="D854" s="13" t="s">
        <v>12</v>
      </c>
      <c r="E854" s="6" t="s">
        <v>56</v>
      </c>
      <c r="F854" s="17" t="s">
        <v>218</v>
      </c>
      <c r="G854" s="51"/>
    </row>
    <row r="855" spans="1:7" ht="26.25" thickBot="1" x14ac:dyDescent="0.25">
      <c r="A855" s="24" t="s">
        <v>46</v>
      </c>
      <c r="B855" s="25"/>
      <c r="C855" s="26">
        <v>5.0000000000000001E-4</v>
      </c>
      <c r="D855" s="25"/>
      <c r="E855" s="25"/>
      <c r="F855" s="27"/>
      <c r="G855" s="51"/>
    </row>
    <row r="856" spans="1:7" ht="15" thickBot="1" x14ac:dyDescent="0.25">
      <c r="A856" s="49" t="s">
        <v>375</v>
      </c>
      <c r="B856" s="49"/>
      <c r="C856" s="49"/>
      <c r="D856" s="49"/>
      <c r="E856" s="49"/>
      <c r="F856" s="49"/>
      <c r="G856" s="51"/>
    </row>
    <row r="857" spans="1:7" ht="15" thickBot="1" x14ac:dyDescent="0.25">
      <c r="A857" s="43" t="s">
        <v>332</v>
      </c>
      <c r="B857" s="43"/>
      <c r="C857" s="43"/>
      <c r="D857" s="43"/>
      <c r="E857" s="43"/>
      <c r="F857" s="43"/>
      <c r="G857" s="51"/>
    </row>
    <row r="858" spans="1:7" x14ac:dyDescent="0.2">
      <c r="A858" s="1" t="s">
        <v>1</v>
      </c>
      <c r="B858" s="44" t="s">
        <v>250</v>
      </c>
      <c r="C858" s="45"/>
      <c r="D858" s="45"/>
      <c r="E858" s="45"/>
      <c r="F858" s="46"/>
      <c r="G858" s="51"/>
    </row>
    <row r="859" spans="1:7" ht="15" thickBot="1" x14ac:dyDescent="0.25">
      <c r="A859" s="2" t="s">
        <v>3</v>
      </c>
      <c r="B859" s="40" t="s">
        <v>251</v>
      </c>
      <c r="C859" s="41"/>
      <c r="D859" s="41"/>
      <c r="E859" s="41"/>
      <c r="F859" s="42"/>
      <c r="G859" s="51"/>
    </row>
    <row r="860" spans="1:7" ht="15" thickBot="1" x14ac:dyDescent="0.25">
      <c r="A860" s="19" t="s">
        <v>5</v>
      </c>
      <c r="B860" s="20" t="s">
        <v>6</v>
      </c>
      <c r="C860" s="21" t="s">
        <v>7</v>
      </c>
      <c r="D860" s="21" t="s">
        <v>8</v>
      </c>
      <c r="E860" s="22" t="s">
        <v>9</v>
      </c>
      <c r="F860" s="23" t="s">
        <v>10</v>
      </c>
      <c r="G860" s="51"/>
    </row>
    <row r="861" spans="1:7" ht="140.25" x14ac:dyDescent="0.2">
      <c r="A861" s="14" t="s">
        <v>11</v>
      </c>
      <c r="B861" s="3">
        <v>0.978307218046229</v>
      </c>
      <c r="C861" s="4">
        <v>0.98</v>
      </c>
      <c r="D861" s="5" t="s">
        <v>12</v>
      </c>
      <c r="E861" s="6" t="s">
        <v>115</v>
      </c>
      <c r="F861" s="53" t="s">
        <v>404</v>
      </c>
      <c r="G861" s="51"/>
    </row>
    <row r="862" spans="1:7" x14ac:dyDescent="0.2">
      <c r="A862" s="15" t="s">
        <v>360</v>
      </c>
      <c r="B862" s="3">
        <v>0</v>
      </c>
      <c r="C862" s="4">
        <v>0.05</v>
      </c>
      <c r="D862" s="7" t="s">
        <v>16</v>
      </c>
      <c r="E862" s="6" t="s">
        <v>40</v>
      </c>
      <c r="F862" s="17" t="s">
        <v>41</v>
      </c>
      <c r="G862" s="51"/>
    </row>
    <row r="863" spans="1:7" x14ac:dyDescent="0.2">
      <c r="A863" s="15" t="s">
        <v>24</v>
      </c>
      <c r="B863" s="3">
        <v>0</v>
      </c>
      <c r="C863" s="4">
        <v>0</v>
      </c>
      <c r="D863" s="7" t="s">
        <v>12</v>
      </c>
      <c r="E863" s="6" t="s">
        <v>56</v>
      </c>
      <c r="F863" s="17">
        <v>0</v>
      </c>
      <c r="G863" s="51"/>
    </row>
    <row r="864" spans="1:7" x14ac:dyDescent="0.2">
      <c r="A864" s="15" t="s">
        <v>42</v>
      </c>
      <c r="B864" s="9">
        <f>SUBTOTAL(109,B861:B863)</f>
        <v>0.978307218046229</v>
      </c>
      <c r="C864" s="10">
        <f>SUBTOTAL(109,C861:C863)</f>
        <v>1.03</v>
      </c>
      <c r="D864" s="7"/>
      <c r="E864" s="11"/>
      <c r="F864" s="18"/>
      <c r="G864" s="51"/>
    </row>
    <row r="865" spans="1:7" ht="15" thickBot="1" x14ac:dyDescent="0.25">
      <c r="A865" s="16" t="s">
        <v>43</v>
      </c>
      <c r="B865" s="12">
        <v>2.621865265272131E-2</v>
      </c>
      <c r="C865" s="4">
        <v>0</v>
      </c>
      <c r="D865" s="13" t="s">
        <v>12</v>
      </c>
      <c r="E865" s="6" t="s">
        <v>56</v>
      </c>
      <c r="F865" s="17" t="s">
        <v>218</v>
      </c>
      <c r="G865" s="51"/>
    </row>
    <row r="866" spans="1:7" ht="26.25" thickBot="1" x14ac:dyDescent="0.25">
      <c r="A866" s="24" t="s">
        <v>46</v>
      </c>
      <c r="B866" s="25"/>
      <c r="C866" s="26">
        <v>5.0000000000000001E-4</v>
      </c>
      <c r="D866" s="25"/>
      <c r="E866" s="25"/>
      <c r="F866" s="27"/>
      <c r="G866" s="51"/>
    </row>
    <row r="867" spans="1:7" ht="15" thickBot="1" x14ac:dyDescent="0.25">
      <c r="A867" s="49" t="s">
        <v>376</v>
      </c>
      <c r="B867" s="49"/>
      <c r="C867" s="49"/>
      <c r="D867" s="49"/>
      <c r="E867" s="49"/>
      <c r="F867" s="49"/>
      <c r="G867" s="51"/>
    </row>
    <row r="868" spans="1:7" ht="15" thickBot="1" x14ac:dyDescent="0.25">
      <c r="A868" s="43" t="s">
        <v>332</v>
      </c>
      <c r="B868" s="43"/>
      <c r="C868" s="43"/>
      <c r="D868" s="43"/>
      <c r="E868" s="43"/>
      <c r="F868" s="43"/>
      <c r="G868" s="51"/>
    </row>
    <row r="869" spans="1:7" x14ac:dyDescent="0.2">
      <c r="A869" s="1" t="s">
        <v>1</v>
      </c>
      <c r="B869" s="44" t="s">
        <v>252</v>
      </c>
      <c r="C869" s="45"/>
      <c r="D869" s="45"/>
      <c r="E869" s="45"/>
      <c r="F869" s="46"/>
      <c r="G869" s="51"/>
    </row>
    <row r="870" spans="1:7" ht="15" thickBot="1" x14ac:dyDescent="0.25">
      <c r="A870" s="2" t="s">
        <v>3</v>
      </c>
      <c r="B870" s="40" t="s">
        <v>253</v>
      </c>
      <c r="C870" s="41"/>
      <c r="D870" s="41"/>
      <c r="E870" s="41"/>
      <c r="F870" s="42"/>
      <c r="G870" s="51"/>
    </row>
    <row r="871" spans="1:7" ht="15" thickBot="1" x14ac:dyDescent="0.25">
      <c r="A871" s="19" t="s">
        <v>5</v>
      </c>
      <c r="B871" s="20" t="s">
        <v>6</v>
      </c>
      <c r="C871" s="21" t="s">
        <v>7</v>
      </c>
      <c r="D871" s="21" t="s">
        <v>8</v>
      </c>
      <c r="E871" s="22" t="s">
        <v>9</v>
      </c>
      <c r="F871" s="23" t="s">
        <v>10</v>
      </c>
      <c r="G871" s="51"/>
    </row>
    <row r="872" spans="1:7" x14ac:dyDescent="0.2">
      <c r="A872" s="14" t="s">
        <v>11</v>
      </c>
      <c r="B872" s="3">
        <v>0.96848691396403674</v>
      </c>
      <c r="C872" s="4">
        <v>0.98</v>
      </c>
      <c r="D872" s="5" t="s">
        <v>12</v>
      </c>
      <c r="E872" s="6" t="s">
        <v>115</v>
      </c>
      <c r="F872" s="17" t="s">
        <v>254</v>
      </c>
      <c r="G872" s="51"/>
    </row>
    <row r="873" spans="1:7" x14ac:dyDescent="0.2">
      <c r="A873" s="15" t="s">
        <v>360</v>
      </c>
      <c r="B873" s="3">
        <v>0</v>
      </c>
      <c r="C873" s="4">
        <v>0.05</v>
      </c>
      <c r="D873" s="7" t="s">
        <v>16</v>
      </c>
      <c r="E873" s="6" t="s">
        <v>40</v>
      </c>
      <c r="F873" s="17" t="s">
        <v>41</v>
      </c>
      <c r="G873" s="51"/>
    </row>
    <row r="874" spans="1:7" x14ac:dyDescent="0.2">
      <c r="A874" s="15" t="s">
        <v>24</v>
      </c>
      <c r="B874" s="3">
        <v>0</v>
      </c>
      <c r="C874" s="4">
        <v>0</v>
      </c>
      <c r="D874" s="7" t="s">
        <v>12</v>
      </c>
      <c r="E874" s="6" t="s">
        <v>56</v>
      </c>
      <c r="F874" s="17">
        <v>0</v>
      </c>
      <c r="G874" s="51"/>
    </row>
    <row r="875" spans="1:7" x14ac:dyDescent="0.2">
      <c r="A875" s="15" t="s">
        <v>42</v>
      </c>
      <c r="B875" s="9">
        <f>SUBTOTAL(109,B872:B874)</f>
        <v>0.96848691396403674</v>
      </c>
      <c r="C875" s="10">
        <f>SUBTOTAL(109,C872:C874)</f>
        <v>1.03</v>
      </c>
      <c r="D875" s="7"/>
      <c r="E875" s="11"/>
      <c r="F875" s="18"/>
      <c r="G875" s="51"/>
    </row>
    <row r="876" spans="1:7" ht="15" thickBot="1" x14ac:dyDescent="0.25">
      <c r="A876" s="16" t="s">
        <v>43</v>
      </c>
      <c r="B876" s="12">
        <v>5.7948221205589394E-2</v>
      </c>
      <c r="C876" s="4">
        <v>0.06</v>
      </c>
      <c r="D876" s="13" t="s">
        <v>12</v>
      </c>
      <c r="E876" s="6" t="s">
        <v>64</v>
      </c>
      <c r="F876" s="17" t="s">
        <v>45</v>
      </c>
      <c r="G876" s="51"/>
    </row>
    <row r="877" spans="1:7" ht="26.25" thickBot="1" x14ac:dyDescent="0.25">
      <c r="A877" s="24" t="s">
        <v>46</v>
      </c>
      <c r="B877" s="25"/>
      <c r="C877" s="26">
        <v>5.0000000000000001E-4</v>
      </c>
      <c r="D877" s="25"/>
      <c r="E877" s="25"/>
      <c r="F877" s="27"/>
      <c r="G877" s="51"/>
    </row>
    <row r="878" spans="1:7" ht="15" thickBot="1" x14ac:dyDescent="0.25">
      <c r="A878" s="49" t="s">
        <v>377</v>
      </c>
      <c r="B878" s="49"/>
      <c r="C878" s="49"/>
      <c r="D878" s="49"/>
      <c r="E878" s="49"/>
      <c r="F878" s="49"/>
      <c r="G878" s="51"/>
    </row>
    <row r="879" spans="1:7" ht="15" thickBot="1" x14ac:dyDescent="0.25">
      <c r="A879" s="43" t="s">
        <v>332</v>
      </c>
      <c r="B879" s="43"/>
      <c r="C879" s="43"/>
      <c r="D879" s="43"/>
      <c r="E879" s="43"/>
      <c r="F879" s="43"/>
      <c r="G879" s="51"/>
    </row>
    <row r="880" spans="1:7" x14ac:dyDescent="0.2">
      <c r="A880" s="1" t="s">
        <v>1</v>
      </c>
      <c r="B880" s="44" t="s">
        <v>255</v>
      </c>
      <c r="C880" s="45"/>
      <c r="D880" s="45"/>
      <c r="E880" s="45"/>
      <c r="F880" s="46"/>
      <c r="G880" s="51"/>
    </row>
    <row r="881" spans="1:7" ht="15" thickBot="1" x14ac:dyDescent="0.25">
      <c r="A881" s="2" t="s">
        <v>3</v>
      </c>
      <c r="B881" s="40" t="s">
        <v>256</v>
      </c>
      <c r="C881" s="41"/>
      <c r="D881" s="41"/>
      <c r="E881" s="41"/>
      <c r="F881" s="42"/>
      <c r="G881" s="51"/>
    </row>
    <row r="882" spans="1:7" ht="15" thickBot="1" x14ac:dyDescent="0.25">
      <c r="A882" s="19" t="s">
        <v>5</v>
      </c>
      <c r="B882" s="20" t="s">
        <v>6</v>
      </c>
      <c r="C882" s="21" t="s">
        <v>7</v>
      </c>
      <c r="D882" s="21" t="s">
        <v>8</v>
      </c>
      <c r="E882" s="22" t="s">
        <v>9</v>
      </c>
      <c r="F882" s="23" t="s">
        <v>10</v>
      </c>
      <c r="G882" s="51"/>
    </row>
    <row r="883" spans="1:7" x14ac:dyDescent="0.2">
      <c r="A883" s="14" t="s">
        <v>11</v>
      </c>
      <c r="B883" s="3">
        <v>0.68847873105853674</v>
      </c>
      <c r="C883" s="4">
        <v>0.7</v>
      </c>
      <c r="D883" s="5" t="s">
        <v>12</v>
      </c>
      <c r="E883" s="6" t="s">
        <v>120</v>
      </c>
      <c r="F883" s="17" t="s">
        <v>254</v>
      </c>
      <c r="G883" s="51"/>
    </row>
    <row r="884" spans="1:7" x14ac:dyDescent="0.2">
      <c r="A884" s="15" t="s">
        <v>360</v>
      </c>
      <c r="B884" s="3">
        <v>0</v>
      </c>
      <c r="C884" s="4">
        <v>0.05</v>
      </c>
      <c r="D884" s="7" t="s">
        <v>16</v>
      </c>
      <c r="E884" s="6" t="s">
        <v>40</v>
      </c>
      <c r="F884" s="17" t="s">
        <v>41</v>
      </c>
      <c r="G884" s="51"/>
    </row>
    <row r="885" spans="1:7" x14ac:dyDescent="0.2">
      <c r="A885" s="15" t="s">
        <v>22</v>
      </c>
      <c r="B885" s="3">
        <v>0.2291290695489748</v>
      </c>
      <c r="C885" s="4">
        <v>0.28000000000000003</v>
      </c>
      <c r="D885" s="7" t="s">
        <v>16</v>
      </c>
      <c r="E885" s="6" t="s">
        <v>78</v>
      </c>
      <c r="F885" s="17" t="s">
        <v>243</v>
      </c>
      <c r="G885" s="51"/>
    </row>
    <row r="886" spans="1:7" x14ac:dyDescent="0.2">
      <c r="A886" s="15" t="s">
        <v>24</v>
      </c>
      <c r="B886" s="3">
        <v>0</v>
      </c>
      <c r="C886" s="4">
        <v>0</v>
      </c>
      <c r="D886" s="7" t="s">
        <v>12</v>
      </c>
      <c r="E886" s="6" t="s">
        <v>56</v>
      </c>
      <c r="F886" s="17">
        <v>0</v>
      </c>
      <c r="G886" s="51"/>
    </row>
    <row r="887" spans="1:7" x14ac:dyDescent="0.2">
      <c r="A887" s="15" t="s">
        <v>42</v>
      </c>
      <c r="B887" s="9">
        <f>SUBTOTAL(109,B883:B886)</f>
        <v>0.91760780060751157</v>
      </c>
      <c r="C887" s="9">
        <f>SUBTOTAL(109,C883:C886)</f>
        <v>1.03</v>
      </c>
      <c r="D887" s="7"/>
      <c r="E887" s="11"/>
      <c r="F887" s="18"/>
      <c r="G887" s="51"/>
    </row>
    <row r="888" spans="1:7" ht="15" thickBot="1" x14ac:dyDescent="0.25">
      <c r="A888" s="16" t="s">
        <v>43</v>
      </c>
      <c r="B888" s="12">
        <v>4.1235893351385618E-2</v>
      </c>
      <c r="C888" s="4">
        <v>0.06</v>
      </c>
      <c r="D888" s="13" t="s">
        <v>12</v>
      </c>
      <c r="E888" s="6" t="s">
        <v>64</v>
      </c>
      <c r="F888" s="17" t="s">
        <v>45</v>
      </c>
      <c r="G888" s="51"/>
    </row>
    <row r="889" spans="1:7" ht="26.25" thickBot="1" x14ac:dyDescent="0.25">
      <c r="A889" s="24" t="s">
        <v>46</v>
      </c>
      <c r="B889" s="25"/>
      <c r="C889" s="26">
        <v>5.0000000000000001E-4</v>
      </c>
      <c r="D889" s="25"/>
      <c r="E889" s="25"/>
      <c r="F889" s="27"/>
      <c r="G889" s="51"/>
    </row>
    <row r="890" spans="1:7" ht="15" thickBot="1" x14ac:dyDescent="0.25">
      <c r="A890" s="49" t="s">
        <v>378</v>
      </c>
      <c r="B890" s="49"/>
      <c r="C890" s="49"/>
      <c r="D890" s="49"/>
      <c r="E890" s="49"/>
      <c r="F890" s="49"/>
      <c r="G890" s="51"/>
    </row>
    <row r="891" spans="1:7" ht="15" thickBot="1" x14ac:dyDescent="0.25">
      <c r="A891" s="43" t="s">
        <v>332</v>
      </c>
      <c r="B891" s="43"/>
      <c r="C891" s="43"/>
      <c r="D891" s="43"/>
      <c r="E891" s="43"/>
      <c r="F891" s="43"/>
      <c r="G891" s="51"/>
    </row>
    <row r="892" spans="1:7" x14ac:dyDescent="0.2">
      <c r="A892" s="1" t="s">
        <v>1</v>
      </c>
      <c r="B892" s="44" t="s">
        <v>257</v>
      </c>
      <c r="C892" s="45"/>
      <c r="D892" s="45"/>
      <c r="E892" s="45"/>
      <c r="F892" s="46"/>
      <c r="G892" s="51"/>
    </row>
    <row r="893" spans="1:7" ht="15" thickBot="1" x14ac:dyDescent="0.25">
      <c r="A893" s="2" t="s">
        <v>3</v>
      </c>
      <c r="B893" s="40" t="s">
        <v>258</v>
      </c>
      <c r="C893" s="41"/>
      <c r="D893" s="41"/>
      <c r="E893" s="41"/>
      <c r="F893" s="42"/>
      <c r="G893" s="51"/>
    </row>
    <row r="894" spans="1:7" ht="15" thickBot="1" x14ac:dyDescent="0.25">
      <c r="A894" s="19" t="s">
        <v>5</v>
      </c>
      <c r="B894" s="20" t="s">
        <v>6</v>
      </c>
      <c r="C894" s="21" t="s">
        <v>7</v>
      </c>
      <c r="D894" s="21" t="s">
        <v>8</v>
      </c>
      <c r="E894" s="22" t="s">
        <v>9</v>
      </c>
      <c r="F894" s="23" t="s">
        <v>10</v>
      </c>
      <c r="G894" s="51"/>
    </row>
    <row r="895" spans="1:7" x14ac:dyDescent="0.2">
      <c r="A895" s="14" t="s">
        <v>11</v>
      </c>
      <c r="B895" s="3">
        <v>0.97746371380480879</v>
      </c>
      <c r="C895" s="4">
        <v>0.98</v>
      </c>
      <c r="D895" s="5" t="s">
        <v>12</v>
      </c>
      <c r="E895" s="6" t="s">
        <v>115</v>
      </c>
      <c r="F895" s="17" t="s">
        <v>254</v>
      </c>
      <c r="G895" s="51"/>
    </row>
    <row r="896" spans="1:7" x14ac:dyDescent="0.2">
      <c r="A896" s="15" t="s">
        <v>360</v>
      </c>
      <c r="B896" s="3">
        <v>0</v>
      </c>
      <c r="C896" s="4">
        <v>0.05</v>
      </c>
      <c r="D896" s="7" t="s">
        <v>16</v>
      </c>
      <c r="E896" s="6" t="s">
        <v>40</v>
      </c>
      <c r="F896" s="17" t="s">
        <v>41</v>
      </c>
      <c r="G896" s="51"/>
    </row>
    <row r="897" spans="1:7" x14ac:dyDescent="0.2">
      <c r="A897" s="15" t="s">
        <v>24</v>
      </c>
      <c r="B897" s="3">
        <v>0</v>
      </c>
      <c r="C897" s="4">
        <v>0</v>
      </c>
      <c r="D897" s="7" t="s">
        <v>12</v>
      </c>
      <c r="E897" s="6" t="s">
        <v>56</v>
      </c>
      <c r="F897" s="17">
        <v>0</v>
      </c>
      <c r="G897" s="51"/>
    </row>
    <row r="898" spans="1:7" x14ac:dyDescent="0.2">
      <c r="A898" s="15" t="s">
        <v>42</v>
      </c>
      <c r="B898" s="9">
        <f>SUBTOTAL(109,B895:B897)</f>
        <v>0.97746371380480879</v>
      </c>
      <c r="C898" s="10">
        <f>SUBTOTAL(109,C895:C897)</f>
        <v>1.03</v>
      </c>
      <c r="D898" s="7"/>
      <c r="E898" s="11"/>
      <c r="F898" s="18"/>
      <c r="G898" s="51"/>
    </row>
    <row r="899" spans="1:7" ht="15" thickBot="1" x14ac:dyDescent="0.25">
      <c r="A899" s="16" t="s">
        <v>43</v>
      </c>
      <c r="B899" s="12">
        <v>5.8720773249520117E-2</v>
      </c>
      <c r="C899" s="4">
        <v>0.06</v>
      </c>
      <c r="D899" s="13" t="s">
        <v>12</v>
      </c>
      <c r="E899" s="6" t="s">
        <v>64</v>
      </c>
      <c r="F899" s="17" t="s">
        <v>45</v>
      </c>
      <c r="G899" s="51"/>
    </row>
    <row r="900" spans="1:7" ht="26.25" thickBot="1" x14ac:dyDescent="0.25">
      <c r="A900" s="24" t="s">
        <v>46</v>
      </c>
      <c r="B900" s="25"/>
      <c r="C900" s="26">
        <v>5.0000000000000001E-4</v>
      </c>
      <c r="D900" s="25"/>
      <c r="E900" s="25"/>
      <c r="F900" s="27"/>
      <c r="G900" s="51"/>
    </row>
    <row r="901" spans="1:7" ht="15" thickBot="1" x14ac:dyDescent="0.25">
      <c r="A901" s="49" t="s">
        <v>379</v>
      </c>
      <c r="B901" s="49"/>
      <c r="C901" s="49"/>
      <c r="D901" s="49"/>
      <c r="E901" s="49"/>
      <c r="F901" s="49"/>
      <c r="G901" s="51"/>
    </row>
    <row r="902" spans="1:7" ht="15" thickBot="1" x14ac:dyDescent="0.25">
      <c r="A902" s="43" t="s">
        <v>332</v>
      </c>
      <c r="B902" s="43"/>
      <c r="C902" s="43"/>
      <c r="D902" s="43"/>
      <c r="E902" s="43"/>
      <c r="F902" s="43"/>
      <c r="G902" s="51"/>
    </row>
    <row r="903" spans="1:7" x14ac:dyDescent="0.2">
      <c r="A903" s="1" t="s">
        <v>1</v>
      </c>
      <c r="B903" s="44" t="s">
        <v>259</v>
      </c>
      <c r="C903" s="45"/>
      <c r="D903" s="45"/>
      <c r="E903" s="45"/>
      <c r="F903" s="46"/>
      <c r="G903" s="51"/>
    </row>
    <row r="904" spans="1:7" ht="15" thickBot="1" x14ac:dyDescent="0.25">
      <c r="A904" s="2" t="s">
        <v>3</v>
      </c>
      <c r="B904" s="40" t="s">
        <v>260</v>
      </c>
      <c r="C904" s="41"/>
      <c r="D904" s="41"/>
      <c r="E904" s="41"/>
      <c r="F904" s="42"/>
      <c r="G904" s="51"/>
    </row>
    <row r="905" spans="1:7" ht="15" thickBot="1" x14ac:dyDescent="0.25">
      <c r="A905" s="19" t="s">
        <v>5</v>
      </c>
      <c r="B905" s="20" t="s">
        <v>6</v>
      </c>
      <c r="C905" s="21" t="s">
        <v>7</v>
      </c>
      <c r="D905" s="21" t="s">
        <v>8</v>
      </c>
      <c r="E905" s="22" t="s">
        <v>9</v>
      </c>
      <c r="F905" s="23" t="s">
        <v>10</v>
      </c>
      <c r="G905" s="51"/>
    </row>
    <row r="906" spans="1:7" x14ac:dyDescent="0.2">
      <c r="A906" s="14" t="s">
        <v>11</v>
      </c>
      <c r="B906" s="3">
        <v>0.96687557619143816</v>
      </c>
      <c r="C906" s="4">
        <v>0.98</v>
      </c>
      <c r="D906" s="5" t="s">
        <v>12</v>
      </c>
      <c r="E906" s="6" t="s">
        <v>115</v>
      </c>
      <c r="F906" s="17" t="s">
        <v>254</v>
      </c>
      <c r="G906" s="51"/>
    </row>
    <row r="907" spans="1:7" x14ac:dyDescent="0.2">
      <c r="A907" s="15" t="s">
        <v>360</v>
      </c>
      <c r="B907" s="3">
        <v>0</v>
      </c>
      <c r="C907" s="4">
        <v>0.05</v>
      </c>
      <c r="D907" s="7" t="s">
        <v>16</v>
      </c>
      <c r="E907" s="6" t="s">
        <v>40</v>
      </c>
      <c r="F907" s="17" t="s">
        <v>41</v>
      </c>
      <c r="G907" s="51"/>
    </row>
    <row r="908" spans="1:7" x14ac:dyDescent="0.2">
      <c r="A908" s="15" t="s">
        <v>24</v>
      </c>
      <c r="B908" s="3">
        <v>0</v>
      </c>
      <c r="C908" s="4">
        <v>0</v>
      </c>
      <c r="D908" s="7" t="s">
        <v>12</v>
      </c>
      <c r="E908" s="6" t="s">
        <v>56</v>
      </c>
      <c r="F908" s="17">
        <v>0</v>
      </c>
      <c r="G908" s="51"/>
    </row>
    <row r="909" spans="1:7" x14ac:dyDescent="0.2">
      <c r="A909" s="15" t="s">
        <v>42</v>
      </c>
      <c r="B909" s="9">
        <f>SUBTOTAL(109,B906:B908)</f>
        <v>0.96687557619143816</v>
      </c>
      <c r="C909" s="10">
        <f>SUBTOTAL(109,C906:C908)</f>
        <v>1.03</v>
      </c>
      <c r="D909" s="7"/>
      <c r="E909" s="11"/>
      <c r="F909" s="18"/>
      <c r="G909" s="51"/>
    </row>
    <row r="910" spans="1:7" ht="15" thickBot="1" x14ac:dyDescent="0.25">
      <c r="A910" s="16" t="s">
        <v>43</v>
      </c>
      <c r="B910" s="12">
        <v>5.7849665172871607E-2</v>
      </c>
      <c r="C910" s="4">
        <v>0.06</v>
      </c>
      <c r="D910" s="13" t="s">
        <v>12</v>
      </c>
      <c r="E910" s="6" t="s">
        <v>64</v>
      </c>
      <c r="F910" s="17" t="s">
        <v>45</v>
      </c>
      <c r="G910" s="51"/>
    </row>
    <row r="911" spans="1:7" ht="26.25" thickBot="1" x14ac:dyDescent="0.25">
      <c r="A911" s="24" t="s">
        <v>46</v>
      </c>
      <c r="B911" s="25"/>
      <c r="C911" s="26">
        <v>5.0000000000000001E-4</v>
      </c>
      <c r="D911" s="25"/>
      <c r="E911" s="25"/>
      <c r="F911" s="27"/>
      <c r="G911" s="51"/>
    </row>
    <row r="912" spans="1:7" ht="15" thickBot="1" x14ac:dyDescent="0.25">
      <c r="A912" s="49" t="s">
        <v>380</v>
      </c>
      <c r="B912" s="49"/>
      <c r="C912" s="49"/>
      <c r="D912" s="49"/>
      <c r="E912" s="49"/>
      <c r="F912" s="49"/>
      <c r="G912" s="51"/>
    </row>
    <row r="913" spans="1:7" ht="15" thickBot="1" x14ac:dyDescent="0.25">
      <c r="A913" s="43" t="s">
        <v>332</v>
      </c>
      <c r="B913" s="43"/>
      <c r="C913" s="43"/>
      <c r="D913" s="43"/>
      <c r="E913" s="43"/>
      <c r="F913" s="43"/>
      <c r="G913" s="51"/>
    </row>
    <row r="914" spans="1:7" x14ac:dyDescent="0.2">
      <c r="A914" s="1" t="s">
        <v>1</v>
      </c>
      <c r="B914" s="44" t="s">
        <v>261</v>
      </c>
      <c r="C914" s="45"/>
      <c r="D914" s="45"/>
      <c r="E914" s="45"/>
      <c r="F914" s="46"/>
      <c r="G914" s="51"/>
    </row>
    <row r="915" spans="1:7" ht="15" thickBot="1" x14ac:dyDescent="0.25">
      <c r="A915" s="2" t="s">
        <v>3</v>
      </c>
      <c r="B915" s="40" t="s">
        <v>262</v>
      </c>
      <c r="C915" s="41"/>
      <c r="D915" s="41"/>
      <c r="E915" s="41"/>
      <c r="F915" s="42"/>
      <c r="G915" s="51"/>
    </row>
    <row r="916" spans="1:7" ht="15" thickBot="1" x14ac:dyDescent="0.25">
      <c r="A916" s="19" t="s">
        <v>5</v>
      </c>
      <c r="B916" s="20" t="s">
        <v>6</v>
      </c>
      <c r="C916" s="21" t="s">
        <v>7</v>
      </c>
      <c r="D916" s="21" t="s">
        <v>8</v>
      </c>
      <c r="E916" s="22" t="s">
        <v>9</v>
      </c>
      <c r="F916" s="23" t="s">
        <v>10</v>
      </c>
      <c r="G916" s="51"/>
    </row>
    <row r="917" spans="1:7" x14ac:dyDescent="0.2">
      <c r="A917" s="14" t="s">
        <v>11</v>
      </c>
      <c r="B917" s="3">
        <v>0.97481944460408254</v>
      </c>
      <c r="C917" s="4">
        <v>0.98</v>
      </c>
      <c r="D917" s="5" t="s">
        <v>12</v>
      </c>
      <c r="E917" s="6" t="s">
        <v>115</v>
      </c>
      <c r="F917" s="17" t="s">
        <v>254</v>
      </c>
      <c r="G917" s="51"/>
    </row>
    <row r="918" spans="1:7" x14ac:dyDescent="0.2">
      <c r="A918" s="15" t="s">
        <v>360</v>
      </c>
      <c r="B918" s="3">
        <v>0</v>
      </c>
      <c r="C918" s="4">
        <v>0.05</v>
      </c>
      <c r="D918" s="7" t="s">
        <v>16</v>
      </c>
      <c r="E918" s="6" t="s">
        <v>40</v>
      </c>
      <c r="F918" s="17" t="s">
        <v>41</v>
      </c>
      <c r="G918" s="51"/>
    </row>
    <row r="919" spans="1:7" x14ac:dyDescent="0.2">
      <c r="A919" s="15" t="s">
        <v>24</v>
      </c>
      <c r="B919" s="3">
        <v>0</v>
      </c>
      <c r="C919" s="4">
        <v>0</v>
      </c>
      <c r="D919" s="7" t="s">
        <v>12</v>
      </c>
      <c r="E919" s="6" t="s">
        <v>56</v>
      </c>
      <c r="F919" s="17">
        <v>0</v>
      </c>
      <c r="G919" s="51"/>
    </row>
    <row r="920" spans="1:7" x14ac:dyDescent="0.2">
      <c r="A920" s="15" t="s">
        <v>42</v>
      </c>
      <c r="B920" s="9">
        <f>SUBTOTAL(109,B917:B919)</f>
        <v>0.97481944460408254</v>
      </c>
      <c r="C920" s="10">
        <f>SUBTOTAL(109,C917:C919)</f>
        <v>1.03</v>
      </c>
      <c r="D920" s="7"/>
      <c r="E920" s="11"/>
      <c r="F920" s="18"/>
      <c r="G920" s="51"/>
    </row>
    <row r="921" spans="1:7" ht="15" thickBot="1" x14ac:dyDescent="0.25">
      <c r="A921" s="16" t="s">
        <v>43</v>
      </c>
      <c r="B921" s="12">
        <v>5.8325496734091181E-2</v>
      </c>
      <c r="C921" s="4">
        <v>0.06</v>
      </c>
      <c r="D921" s="13" t="s">
        <v>12</v>
      </c>
      <c r="E921" s="6" t="s">
        <v>64</v>
      </c>
      <c r="F921" s="17" t="s">
        <v>45</v>
      </c>
      <c r="G921" s="51"/>
    </row>
    <row r="922" spans="1:7" ht="26.25" thickBot="1" x14ac:dyDescent="0.25">
      <c r="A922" s="24" t="s">
        <v>46</v>
      </c>
      <c r="B922" s="25"/>
      <c r="C922" s="26">
        <v>5.0000000000000001E-4</v>
      </c>
      <c r="D922" s="25"/>
      <c r="E922" s="25"/>
      <c r="F922" s="27"/>
      <c r="G922" s="51"/>
    </row>
    <row r="923" spans="1:7" ht="15" thickBot="1" x14ac:dyDescent="0.25">
      <c r="A923" s="49" t="s">
        <v>381</v>
      </c>
      <c r="B923" s="49"/>
      <c r="C923" s="49"/>
      <c r="D923" s="49"/>
      <c r="E923" s="49"/>
      <c r="F923" s="49"/>
      <c r="G923" s="51"/>
    </row>
    <row r="924" spans="1:7" ht="15" thickBot="1" x14ac:dyDescent="0.25">
      <c r="A924" s="43" t="s">
        <v>332</v>
      </c>
      <c r="B924" s="43"/>
      <c r="C924" s="43"/>
      <c r="D924" s="43"/>
      <c r="E924" s="43"/>
      <c r="F924" s="43"/>
      <c r="G924" s="51"/>
    </row>
    <row r="925" spans="1:7" x14ac:dyDescent="0.2">
      <c r="A925" s="1" t="s">
        <v>1</v>
      </c>
      <c r="B925" s="44" t="s">
        <v>263</v>
      </c>
      <c r="C925" s="45"/>
      <c r="D925" s="45"/>
      <c r="E925" s="45"/>
      <c r="F925" s="46"/>
      <c r="G925" s="51"/>
    </row>
    <row r="926" spans="1:7" ht="15" thickBot="1" x14ac:dyDescent="0.25">
      <c r="A926" s="2" t="s">
        <v>3</v>
      </c>
      <c r="B926" s="40" t="s">
        <v>264</v>
      </c>
      <c r="C926" s="41"/>
      <c r="D926" s="41"/>
      <c r="E926" s="41"/>
      <c r="F926" s="42"/>
      <c r="G926" s="51"/>
    </row>
    <row r="927" spans="1:7" ht="15" thickBot="1" x14ac:dyDescent="0.25">
      <c r="A927" s="19" t="s">
        <v>5</v>
      </c>
      <c r="B927" s="20" t="s">
        <v>6</v>
      </c>
      <c r="C927" s="21" t="s">
        <v>7</v>
      </c>
      <c r="D927" s="21" t="s">
        <v>8</v>
      </c>
      <c r="E927" s="22" t="s">
        <v>9</v>
      </c>
      <c r="F927" s="23" t="s">
        <v>10</v>
      </c>
      <c r="G927" s="51"/>
    </row>
    <row r="928" spans="1:7" ht="38.25" x14ac:dyDescent="0.2">
      <c r="A928" s="14" t="s">
        <v>11</v>
      </c>
      <c r="B928" s="3">
        <v>0.98570390858707913</v>
      </c>
      <c r="C928" s="4">
        <v>0.98</v>
      </c>
      <c r="D928" s="5" t="s">
        <v>12</v>
      </c>
      <c r="E928" s="6" t="s">
        <v>115</v>
      </c>
      <c r="F928" s="17" t="s">
        <v>265</v>
      </c>
      <c r="G928" s="51"/>
    </row>
    <row r="929" spans="1:7" x14ac:dyDescent="0.2">
      <c r="A929" s="15" t="s">
        <v>360</v>
      </c>
      <c r="B929" s="3">
        <v>0</v>
      </c>
      <c r="C929" s="4">
        <v>0.05</v>
      </c>
      <c r="D929" s="7" t="s">
        <v>16</v>
      </c>
      <c r="E929" s="6" t="s">
        <v>40</v>
      </c>
      <c r="F929" s="17" t="s">
        <v>41</v>
      </c>
      <c r="G929" s="51"/>
    </row>
    <row r="930" spans="1:7" x14ac:dyDescent="0.2">
      <c r="A930" s="15" t="s">
        <v>24</v>
      </c>
      <c r="B930" s="3">
        <v>0</v>
      </c>
      <c r="C930" s="4">
        <v>0</v>
      </c>
      <c r="D930" s="7" t="s">
        <v>12</v>
      </c>
      <c r="E930" s="6" t="s">
        <v>56</v>
      </c>
      <c r="F930" s="17">
        <v>0</v>
      </c>
      <c r="G930" s="51"/>
    </row>
    <row r="931" spans="1:7" x14ac:dyDescent="0.2">
      <c r="A931" s="15" t="s">
        <v>42</v>
      </c>
      <c r="B931" s="9">
        <f>SUBTOTAL(109,B928:B930)</f>
        <v>0.98570390858707913</v>
      </c>
      <c r="C931" s="10">
        <f>SUBTOTAL(109,C928:C930)</f>
        <v>1.03</v>
      </c>
      <c r="D931" s="7"/>
      <c r="E931" s="11"/>
      <c r="F931" s="18"/>
      <c r="G931" s="51"/>
    </row>
    <row r="932" spans="1:7" ht="15" thickBot="1" x14ac:dyDescent="0.25">
      <c r="A932" s="16" t="s">
        <v>43</v>
      </c>
      <c r="B932" s="12">
        <v>0.97234333468199652</v>
      </c>
      <c r="C932" s="4">
        <v>0.96</v>
      </c>
      <c r="D932" s="13" t="s">
        <v>12</v>
      </c>
      <c r="E932" s="6" t="s">
        <v>205</v>
      </c>
      <c r="F932" s="17" t="s">
        <v>218</v>
      </c>
      <c r="G932" s="51"/>
    </row>
    <row r="933" spans="1:7" ht="26.25" thickBot="1" x14ac:dyDescent="0.25">
      <c r="A933" s="24" t="s">
        <v>46</v>
      </c>
      <c r="B933" s="25"/>
      <c r="C933" s="26">
        <v>6.9999999999999999E-4</v>
      </c>
      <c r="D933" s="25"/>
      <c r="E933" s="25"/>
      <c r="F933" s="27"/>
      <c r="G933" s="51"/>
    </row>
    <row r="934" spans="1:7" ht="15" thickBot="1" x14ac:dyDescent="0.25">
      <c r="A934" s="49" t="s">
        <v>382</v>
      </c>
      <c r="B934" s="49"/>
      <c r="C934" s="49"/>
      <c r="D934" s="49"/>
      <c r="E934" s="49"/>
      <c r="F934" s="49"/>
      <c r="G934" s="51"/>
    </row>
    <row r="935" spans="1:7" ht="15" thickBot="1" x14ac:dyDescent="0.25">
      <c r="A935" s="43" t="s">
        <v>332</v>
      </c>
      <c r="B935" s="43"/>
      <c r="C935" s="43"/>
      <c r="D935" s="43"/>
      <c r="E935" s="43"/>
      <c r="F935" s="43"/>
      <c r="G935" s="51"/>
    </row>
    <row r="936" spans="1:7" x14ac:dyDescent="0.2">
      <c r="A936" s="1" t="s">
        <v>1</v>
      </c>
      <c r="B936" s="44" t="s">
        <v>266</v>
      </c>
      <c r="C936" s="45"/>
      <c r="D936" s="45"/>
      <c r="E936" s="45"/>
      <c r="F936" s="46"/>
      <c r="G936" s="51"/>
    </row>
    <row r="937" spans="1:7" ht="15" thickBot="1" x14ac:dyDescent="0.25">
      <c r="A937" s="2" t="s">
        <v>3</v>
      </c>
      <c r="B937" s="40" t="s">
        <v>267</v>
      </c>
      <c r="C937" s="41"/>
      <c r="D937" s="41"/>
      <c r="E937" s="41"/>
      <c r="F937" s="42"/>
      <c r="G937" s="51"/>
    </row>
    <row r="938" spans="1:7" ht="15" thickBot="1" x14ac:dyDescent="0.25">
      <c r="A938" s="19" t="s">
        <v>5</v>
      </c>
      <c r="B938" s="20" t="s">
        <v>6</v>
      </c>
      <c r="C938" s="21" t="s">
        <v>7</v>
      </c>
      <c r="D938" s="21" t="s">
        <v>8</v>
      </c>
      <c r="E938" s="22" t="s">
        <v>9</v>
      </c>
      <c r="F938" s="23" t="s">
        <v>10</v>
      </c>
      <c r="G938" s="51"/>
    </row>
    <row r="939" spans="1:7" ht="38.25" x14ac:dyDescent="0.2">
      <c r="A939" s="14" t="s">
        <v>11</v>
      </c>
      <c r="B939" s="3">
        <v>0.98091166155098342</v>
      </c>
      <c r="C939" s="4">
        <v>0.98</v>
      </c>
      <c r="D939" s="5" t="s">
        <v>12</v>
      </c>
      <c r="E939" s="6" t="s">
        <v>115</v>
      </c>
      <c r="F939" s="17" t="s">
        <v>265</v>
      </c>
      <c r="G939" s="51"/>
    </row>
    <row r="940" spans="1:7" x14ac:dyDescent="0.2">
      <c r="A940" s="15" t="s">
        <v>360</v>
      </c>
      <c r="B940" s="3">
        <v>0</v>
      </c>
      <c r="C940" s="4">
        <v>0.05</v>
      </c>
      <c r="D940" s="7" t="s">
        <v>16</v>
      </c>
      <c r="E940" s="6" t="s">
        <v>40</v>
      </c>
      <c r="F940" s="17" t="s">
        <v>41</v>
      </c>
      <c r="G940" s="51"/>
    </row>
    <row r="941" spans="1:7" x14ac:dyDescent="0.2">
      <c r="A941" s="15" t="s">
        <v>24</v>
      </c>
      <c r="B941" s="3">
        <v>0</v>
      </c>
      <c r="C941" s="4">
        <v>0</v>
      </c>
      <c r="D941" s="7" t="s">
        <v>12</v>
      </c>
      <c r="E941" s="6" t="s">
        <v>56</v>
      </c>
      <c r="F941" s="17">
        <v>0</v>
      </c>
      <c r="G941" s="51"/>
    </row>
    <row r="942" spans="1:7" x14ac:dyDescent="0.2">
      <c r="A942" s="15" t="s">
        <v>42</v>
      </c>
      <c r="B942" s="9">
        <f>SUBTOTAL(109,B939:B941)</f>
        <v>0.98091166155098342</v>
      </c>
      <c r="C942" s="10">
        <f>SUBTOTAL(109,C939:C941)</f>
        <v>1.03</v>
      </c>
      <c r="D942" s="7"/>
      <c r="E942" s="11"/>
      <c r="F942" s="18"/>
      <c r="G942" s="51"/>
    </row>
    <row r="943" spans="1:7" ht="15" thickBot="1" x14ac:dyDescent="0.25">
      <c r="A943" s="16" t="s">
        <v>43</v>
      </c>
      <c r="B943" s="12">
        <v>0.96761604343043151</v>
      </c>
      <c r="C943" s="4">
        <v>0.96</v>
      </c>
      <c r="D943" s="13" t="s">
        <v>12</v>
      </c>
      <c r="E943" s="6" t="s">
        <v>205</v>
      </c>
      <c r="F943" s="17" t="s">
        <v>218</v>
      </c>
      <c r="G943" s="51"/>
    </row>
    <row r="944" spans="1:7" ht="26.25" thickBot="1" x14ac:dyDescent="0.25">
      <c r="A944" s="24" t="s">
        <v>46</v>
      </c>
      <c r="B944" s="25"/>
      <c r="C944" s="26">
        <v>6.9999999999999999E-4</v>
      </c>
      <c r="D944" s="25"/>
      <c r="E944" s="25"/>
      <c r="F944" s="27"/>
      <c r="G944" s="51"/>
    </row>
    <row r="945" spans="1:7" ht="15" thickBot="1" x14ac:dyDescent="0.25">
      <c r="A945" s="49" t="s">
        <v>383</v>
      </c>
      <c r="B945" s="49"/>
      <c r="C945" s="49"/>
      <c r="D945" s="49"/>
      <c r="E945" s="49"/>
      <c r="F945" s="49"/>
      <c r="G945" s="51"/>
    </row>
    <row r="946" spans="1:7" ht="15" thickBot="1" x14ac:dyDescent="0.25">
      <c r="A946" s="43" t="s">
        <v>332</v>
      </c>
      <c r="B946" s="43"/>
      <c r="C946" s="43"/>
      <c r="D946" s="43"/>
      <c r="E946" s="43"/>
      <c r="F946" s="43"/>
      <c r="G946" s="51"/>
    </row>
    <row r="947" spans="1:7" x14ac:dyDescent="0.2">
      <c r="A947" s="1" t="s">
        <v>1</v>
      </c>
      <c r="B947" s="44" t="s">
        <v>268</v>
      </c>
      <c r="C947" s="45"/>
      <c r="D947" s="45"/>
      <c r="E947" s="45"/>
      <c r="F947" s="46"/>
      <c r="G947" s="51"/>
    </row>
    <row r="948" spans="1:7" ht="15" thickBot="1" x14ac:dyDescent="0.25">
      <c r="A948" s="2" t="s">
        <v>3</v>
      </c>
      <c r="B948" s="40" t="s">
        <v>269</v>
      </c>
      <c r="C948" s="41"/>
      <c r="D948" s="41"/>
      <c r="E948" s="41"/>
      <c r="F948" s="42"/>
      <c r="G948" s="51"/>
    </row>
    <row r="949" spans="1:7" ht="15" thickBot="1" x14ac:dyDescent="0.25">
      <c r="A949" s="19" t="s">
        <v>5</v>
      </c>
      <c r="B949" s="20" t="s">
        <v>6</v>
      </c>
      <c r="C949" s="21" t="s">
        <v>7</v>
      </c>
      <c r="D949" s="21" t="s">
        <v>8</v>
      </c>
      <c r="E949" s="22" t="s">
        <v>9</v>
      </c>
      <c r="F949" s="23" t="s">
        <v>10</v>
      </c>
      <c r="G949" s="51"/>
    </row>
    <row r="950" spans="1:7" ht="38.25" x14ac:dyDescent="0.2">
      <c r="A950" s="14" t="s">
        <v>11</v>
      </c>
      <c r="B950" s="3">
        <v>0.96750851962606654</v>
      </c>
      <c r="C950" s="4">
        <v>0.98</v>
      </c>
      <c r="D950" s="5" t="s">
        <v>12</v>
      </c>
      <c r="E950" s="6" t="s">
        <v>115</v>
      </c>
      <c r="F950" s="17" t="s">
        <v>265</v>
      </c>
      <c r="G950" s="51"/>
    </row>
    <row r="951" spans="1:7" x14ac:dyDescent="0.2">
      <c r="A951" s="15" t="s">
        <v>360</v>
      </c>
      <c r="B951" s="3">
        <v>0</v>
      </c>
      <c r="C951" s="4">
        <v>0.05</v>
      </c>
      <c r="D951" s="7" t="s">
        <v>16</v>
      </c>
      <c r="E951" s="6" t="s">
        <v>40</v>
      </c>
      <c r="F951" s="17" t="s">
        <v>41</v>
      </c>
      <c r="G951" s="51"/>
    </row>
    <row r="952" spans="1:7" x14ac:dyDescent="0.2">
      <c r="A952" s="15" t="s">
        <v>24</v>
      </c>
      <c r="B952" s="3">
        <v>0</v>
      </c>
      <c r="C952" s="4">
        <v>0</v>
      </c>
      <c r="D952" s="7" t="s">
        <v>12</v>
      </c>
      <c r="E952" s="6" t="s">
        <v>56</v>
      </c>
      <c r="F952" s="17">
        <v>0</v>
      </c>
      <c r="G952" s="51"/>
    </row>
    <row r="953" spans="1:7" x14ac:dyDescent="0.2">
      <c r="A953" s="15" t="s">
        <v>42</v>
      </c>
      <c r="B953" s="9">
        <f>SUBTOTAL(109,B950:B952)</f>
        <v>0.96750851962606654</v>
      </c>
      <c r="C953" s="10">
        <f>SUBTOTAL(109,C950:C952)</f>
        <v>1.03</v>
      </c>
      <c r="D953" s="7"/>
      <c r="E953" s="11"/>
      <c r="F953" s="18"/>
      <c r="G953" s="51"/>
    </row>
    <row r="954" spans="1:7" ht="15" thickBot="1" x14ac:dyDescent="0.25">
      <c r="A954" s="16" t="s">
        <v>43</v>
      </c>
      <c r="B954" s="12">
        <v>0.95439457235686087</v>
      </c>
      <c r="C954" s="4">
        <v>0.96</v>
      </c>
      <c r="D954" s="13" t="s">
        <v>12</v>
      </c>
      <c r="E954" s="6" t="s">
        <v>205</v>
      </c>
      <c r="F954" s="17" t="s">
        <v>218</v>
      </c>
      <c r="G954" s="51"/>
    </row>
    <row r="955" spans="1:7" ht="26.25" thickBot="1" x14ac:dyDescent="0.25">
      <c r="A955" s="24" t="s">
        <v>46</v>
      </c>
      <c r="B955" s="25"/>
      <c r="C955" s="26">
        <v>6.9999999999999999E-4</v>
      </c>
      <c r="D955" s="25"/>
      <c r="E955" s="25"/>
      <c r="F955" s="27"/>
      <c r="G955" s="51"/>
    </row>
    <row r="956" spans="1:7" ht="15" thickBot="1" x14ac:dyDescent="0.25">
      <c r="A956" s="49" t="s">
        <v>384</v>
      </c>
      <c r="B956" s="49"/>
      <c r="C956" s="49"/>
      <c r="D956" s="49"/>
      <c r="E956" s="49"/>
      <c r="F956" s="49"/>
      <c r="G956" s="51"/>
    </row>
    <row r="957" spans="1:7" ht="15" thickBot="1" x14ac:dyDescent="0.25">
      <c r="A957" s="43" t="s">
        <v>332</v>
      </c>
      <c r="B957" s="43"/>
      <c r="C957" s="43"/>
      <c r="D957" s="43"/>
      <c r="E957" s="43"/>
      <c r="F957" s="43"/>
      <c r="G957" s="51"/>
    </row>
    <row r="958" spans="1:7" x14ac:dyDescent="0.2">
      <c r="A958" s="1" t="s">
        <v>1</v>
      </c>
      <c r="B958" s="44" t="s">
        <v>270</v>
      </c>
      <c r="C958" s="45"/>
      <c r="D958" s="45"/>
      <c r="E958" s="45"/>
      <c r="F958" s="46"/>
      <c r="G958" s="51"/>
    </row>
    <row r="959" spans="1:7" ht="15" thickBot="1" x14ac:dyDescent="0.25">
      <c r="A959" s="2" t="s">
        <v>3</v>
      </c>
      <c r="B959" s="40" t="s">
        <v>271</v>
      </c>
      <c r="C959" s="41"/>
      <c r="D959" s="41"/>
      <c r="E959" s="41"/>
      <c r="F959" s="42"/>
      <c r="G959" s="51"/>
    </row>
    <row r="960" spans="1:7" ht="15" thickBot="1" x14ac:dyDescent="0.25">
      <c r="A960" s="19" t="s">
        <v>5</v>
      </c>
      <c r="B960" s="20" t="s">
        <v>6</v>
      </c>
      <c r="C960" s="21" t="s">
        <v>7</v>
      </c>
      <c r="D960" s="21" t="s">
        <v>8</v>
      </c>
      <c r="E960" s="22" t="s">
        <v>9</v>
      </c>
      <c r="F960" s="23" t="s">
        <v>10</v>
      </c>
      <c r="G960" s="51"/>
    </row>
    <row r="961" spans="1:7" ht="38.25" x14ac:dyDescent="0.2">
      <c r="A961" s="14" t="s">
        <v>11</v>
      </c>
      <c r="B961" s="3">
        <v>0.69452975937686701</v>
      </c>
      <c r="C961" s="4">
        <v>0.7</v>
      </c>
      <c r="D961" s="5" t="s">
        <v>12</v>
      </c>
      <c r="E961" s="6" t="s">
        <v>120</v>
      </c>
      <c r="F961" s="17" t="s">
        <v>265</v>
      </c>
      <c r="G961" s="51"/>
    </row>
    <row r="962" spans="1:7" x14ac:dyDescent="0.2">
      <c r="A962" s="15" t="s">
        <v>360</v>
      </c>
      <c r="B962" s="3">
        <v>0</v>
      </c>
      <c r="C962" s="4">
        <v>0.05</v>
      </c>
      <c r="D962" s="7" t="s">
        <v>16</v>
      </c>
      <c r="E962" s="6" t="s">
        <v>40</v>
      </c>
      <c r="F962" s="17" t="s">
        <v>41</v>
      </c>
      <c r="G962" s="51"/>
    </row>
    <row r="963" spans="1:7" x14ac:dyDescent="0.2">
      <c r="A963" s="15" t="s">
        <v>22</v>
      </c>
      <c r="B963" s="3">
        <v>0.26747597640032283</v>
      </c>
      <c r="C963" s="4">
        <v>0.28000000000000003</v>
      </c>
      <c r="D963" s="7" t="s">
        <v>16</v>
      </c>
      <c r="E963" s="6" t="s">
        <v>78</v>
      </c>
      <c r="F963" s="17" t="s">
        <v>79</v>
      </c>
      <c r="G963" s="51"/>
    </row>
    <row r="964" spans="1:7" x14ac:dyDescent="0.2">
      <c r="A964" s="15" t="s">
        <v>24</v>
      </c>
      <c r="B964" s="3">
        <v>0</v>
      </c>
      <c r="C964" s="4">
        <v>0</v>
      </c>
      <c r="D964" s="7" t="s">
        <v>12</v>
      </c>
      <c r="E964" s="6" t="s">
        <v>56</v>
      </c>
      <c r="F964" s="17">
        <v>0</v>
      </c>
      <c r="G964" s="51"/>
    </row>
    <row r="965" spans="1:7" x14ac:dyDescent="0.2">
      <c r="A965" s="15" t="s">
        <v>42</v>
      </c>
      <c r="B965" s="9">
        <f>SUBTOTAL(109,B961:B964)</f>
        <v>0.96200573577718984</v>
      </c>
      <c r="C965" s="10">
        <f>SUBTOTAL(109,C961:C964)</f>
        <v>1.03</v>
      </c>
      <c r="D965" s="7"/>
      <c r="E965" s="11"/>
      <c r="F965" s="18"/>
      <c r="G965" s="51"/>
    </row>
    <row r="966" spans="1:7" ht="15" thickBot="1" x14ac:dyDescent="0.25">
      <c r="A966" s="16" t="s">
        <v>43</v>
      </c>
      <c r="B966" s="12">
        <v>0.68511586152994752</v>
      </c>
      <c r="C966" s="4">
        <v>0.68</v>
      </c>
      <c r="D966" s="13" t="s">
        <v>12</v>
      </c>
      <c r="E966" s="6" t="s">
        <v>272</v>
      </c>
      <c r="F966" s="17" t="s">
        <v>218</v>
      </c>
      <c r="G966" s="51"/>
    </row>
    <row r="967" spans="1:7" ht="26.25" thickBot="1" x14ac:dyDescent="0.25">
      <c r="A967" s="24" t="s">
        <v>46</v>
      </c>
      <c r="B967" s="25"/>
      <c r="C967" s="26">
        <v>6.9999999999999999E-4</v>
      </c>
      <c r="D967" s="25"/>
      <c r="E967" s="25"/>
      <c r="F967" s="27"/>
      <c r="G967" s="51"/>
    </row>
    <row r="968" spans="1:7" ht="15" thickBot="1" x14ac:dyDescent="0.25">
      <c r="A968" s="49" t="s">
        <v>385</v>
      </c>
      <c r="B968" s="49"/>
      <c r="C968" s="49"/>
      <c r="D968" s="49"/>
      <c r="E968" s="49"/>
      <c r="F968" s="49"/>
      <c r="G968" s="51"/>
    </row>
    <row r="969" spans="1:7" ht="15" thickBot="1" x14ac:dyDescent="0.25">
      <c r="A969" s="43" t="s">
        <v>332</v>
      </c>
      <c r="B969" s="43"/>
      <c r="C969" s="43"/>
      <c r="D969" s="43"/>
      <c r="E969" s="43"/>
      <c r="F969" s="43"/>
      <c r="G969" s="51"/>
    </row>
    <row r="970" spans="1:7" x14ac:dyDescent="0.2">
      <c r="A970" s="1" t="s">
        <v>1</v>
      </c>
      <c r="B970" s="44" t="s">
        <v>273</v>
      </c>
      <c r="C970" s="45"/>
      <c r="D970" s="45"/>
      <c r="E970" s="45"/>
      <c r="F970" s="46"/>
      <c r="G970" s="51"/>
    </row>
    <row r="971" spans="1:7" ht="15" thickBot="1" x14ac:dyDescent="0.25">
      <c r="A971" s="2" t="s">
        <v>3</v>
      </c>
      <c r="B971" s="40" t="s">
        <v>274</v>
      </c>
      <c r="C971" s="41"/>
      <c r="D971" s="41"/>
      <c r="E971" s="41"/>
      <c r="F971" s="42"/>
      <c r="G971" s="51"/>
    </row>
    <row r="972" spans="1:7" ht="15" thickBot="1" x14ac:dyDescent="0.25">
      <c r="A972" s="19" t="s">
        <v>5</v>
      </c>
      <c r="B972" s="20" t="s">
        <v>6</v>
      </c>
      <c r="C972" s="21" t="s">
        <v>7</v>
      </c>
      <c r="D972" s="21" t="s">
        <v>8</v>
      </c>
      <c r="E972" s="22" t="s">
        <v>9</v>
      </c>
      <c r="F972" s="23" t="s">
        <v>10</v>
      </c>
      <c r="G972" s="51"/>
    </row>
    <row r="973" spans="1:7" ht="38.25" x14ac:dyDescent="0.2">
      <c r="A973" s="14" t="s">
        <v>11</v>
      </c>
      <c r="B973" s="3">
        <v>0.96890858970428628</v>
      </c>
      <c r="C973" s="4">
        <v>0.98</v>
      </c>
      <c r="D973" s="5" t="s">
        <v>12</v>
      </c>
      <c r="E973" s="6" t="s">
        <v>115</v>
      </c>
      <c r="F973" s="17" t="s">
        <v>265</v>
      </c>
      <c r="G973" s="51"/>
    </row>
    <row r="974" spans="1:7" x14ac:dyDescent="0.2">
      <c r="A974" s="15" t="s">
        <v>360</v>
      </c>
      <c r="B974" s="3">
        <v>0</v>
      </c>
      <c r="C974" s="4">
        <v>0.05</v>
      </c>
      <c r="D974" s="7" t="s">
        <v>16</v>
      </c>
      <c r="E974" s="6" t="s">
        <v>40</v>
      </c>
      <c r="F974" s="17" t="s">
        <v>41</v>
      </c>
      <c r="G974" s="51"/>
    </row>
    <row r="975" spans="1:7" x14ac:dyDescent="0.2">
      <c r="A975" s="15" t="s">
        <v>24</v>
      </c>
      <c r="B975" s="3">
        <v>0</v>
      </c>
      <c r="C975" s="4">
        <v>0</v>
      </c>
      <c r="D975" s="7" t="s">
        <v>12</v>
      </c>
      <c r="E975" s="6" t="s">
        <v>56</v>
      </c>
      <c r="F975" s="17">
        <v>0</v>
      </c>
      <c r="G975" s="51"/>
    </row>
    <row r="976" spans="1:7" x14ac:dyDescent="0.2">
      <c r="A976" s="15" t="s">
        <v>42</v>
      </c>
      <c r="B976" s="9">
        <f>SUBTOTAL(109,B973:B975)</f>
        <v>0.96890858970428628</v>
      </c>
      <c r="C976" s="10">
        <f>SUBTOTAL(109,C973:C975)</f>
        <v>1.03</v>
      </c>
      <c r="D976" s="7"/>
      <c r="E976" s="11"/>
      <c r="F976" s="18"/>
      <c r="G976" s="51"/>
    </row>
    <row r="977" spans="1:7" ht="15" thickBot="1" x14ac:dyDescent="0.25">
      <c r="A977" s="16" t="s">
        <v>43</v>
      </c>
      <c r="B977" s="12">
        <v>0.96661364688591211</v>
      </c>
      <c r="C977" s="4">
        <v>0.96</v>
      </c>
      <c r="D977" s="13" t="s">
        <v>12</v>
      </c>
      <c r="E977" s="6" t="s">
        <v>205</v>
      </c>
      <c r="F977" s="17" t="s">
        <v>218</v>
      </c>
      <c r="G977" s="51"/>
    </row>
    <row r="978" spans="1:7" ht="26.25" thickBot="1" x14ac:dyDescent="0.25">
      <c r="A978" s="24" t="s">
        <v>46</v>
      </c>
      <c r="B978" s="25"/>
      <c r="C978" s="26">
        <v>6.9999999999999999E-4</v>
      </c>
      <c r="D978" s="25"/>
      <c r="E978" s="25"/>
      <c r="F978" s="27"/>
      <c r="G978" s="51"/>
    </row>
    <row r="979" spans="1:7" ht="15" thickBot="1" x14ac:dyDescent="0.25">
      <c r="A979" s="49" t="s">
        <v>386</v>
      </c>
      <c r="B979" s="49"/>
      <c r="C979" s="49"/>
      <c r="D979" s="49"/>
      <c r="E979" s="49"/>
      <c r="F979" s="49"/>
      <c r="G979" s="51"/>
    </row>
    <row r="980" spans="1:7" ht="15" thickBot="1" x14ac:dyDescent="0.25">
      <c r="A980" s="43" t="s">
        <v>332</v>
      </c>
      <c r="B980" s="43"/>
      <c r="C980" s="43"/>
      <c r="D980" s="43"/>
      <c r="E980" s="43"/>
      <c r="F980" s="43"/>
      <c r="G980" s="51"/>
    </row>
    <row r="981" spans="1:7" x14ac:dyDescent="0.2">
      <c r="A981" s="1" t="s">
        <v>1</v>
      </c>
      <c r="B981" s="44" t="s">
        <v>275</v>
      </c>
      <c r="C981" s="45"/>
      <c r="D981" s="45"/>
      <c r="E981" s="45"/>
      <c r="F981" s="46"/>
      <c r="G981" s="51"/>
    </row>
    <row r="982" spans="1:7" ht="15" thickBot="1" x14ac:dyDescent="0.25">
      <c r="A982" s="2" t="s">
        <v>3</v>
      </c>
      <c r="B982" s="40" t="s">
        <v>276</v>
      </c>
      <c r="C982" s="41"/>
      <c r="D982" s="41"/>
      <c r="E982" s="41"/>
      <c r="F982" s="42"/>
      <c r="G982" s="51"/>
    </row>
    <row r="983" spans="1:7" ht="15" thickBot="1" x14ac:dyDescent="0.25">
      <c r="A983" s="19" t="s">
        <v>5</v>
      </c>
      <c r="B983" s="20" t="s">
        <v>6</v>
      </c>
      <c r="C983" s="21" t="s">
        <v>7</v>
      </c>
      <c r="D983" s="21" t="s">
        <v>8</v>
      </c>
      <c r="E983" s="22" t="s">
        <v>9</v>
      </c>
      <c r="F983" s="23" t="s">
        <v>10</v>
      </c>
      <c r="G983" s="51"/>
    </row>
    <row r="984" spans="1:7" ht="25.5" x14ac:dyDescent="0.2">
      <c r="A984" s="14" t="s">
        <v>11</v>
      </c>
      <c r="B984" s="3">
        <v>0.50267516750991825</v>
      </c>
      <c r="C984" s="4">
        <v>0.6</v>
      </c>
      <c r="D984" s="5" t="s">
        <v>12</v>
      </c>
      <c r="E984" s="6" t="s">
        <v>399</v>
      </c>
      <c r="F984" s="17" t="s">
        <v>400</v>
      </c>
      <c r="G984" s="51"/>
    </row>
    <row r="985" spans="1:7" x14ac:dyDescent="0.2">
      <c r="A985" s="15" t="s">
        <v>360</v>
      </c>
      <c r="B985" s="3">
        <v>0</v>
      </c>
      <c r="C985" s="4">
        <v>0</v>
      </c>
      <c r="D985" s="7" t="s">
        <v>16</v>
      </c>
      <c r="E985" s="6" t="s">
        <v>23</v>
      </c>
      <c r="F985" s="17">
        <v>0</v>
      </c>
      <c r="G985" s="51"/>
    </row>
    <row r="986" spans="1:7" x14ac:dyDescent="0.2">
      <c r="A986" s="15" t="s">
        <v>19</v>
      </c>
      <c r="B986" s="3">
        <v>0.11034397511209569</v>
      </c>
      <c r="C986" s="4">
        <v>0</v>
      </c>
      <c r="D986" s="7" t="s">
        <v>16</v>
      </c>
      <c r="E986" s="6" t="s">
        <v>23</v>
      </c>
      <c r="F986" s="17"/>
      <c r="G986" s="51"/>
    </row>
    <row r="987" spans="1:7" ht="38.25" x14ac:dyDescent="0.2">
      <c r="A987" s="15" t="s">
        <v>24</v>
      </c>
      <c r="B987" s="3">
        <v>0.36474034357843527</v>
      </c>
      <c r="C987" s="4">
        <v>0.4</v>
      </c>
      <c r="D987" s="7" t="s">
        <v>12</v>
      </c>
      <c r="E987" s="6" t="s">
        <v>325</v>
      </c>
      <c r="F987" s="17" t="s">
        <v>401</v>
      </c>
      <c r="G987" s="51"/>
    </row>
    <row r="988" spans="1:7" x14ac:dyDescent="0.2">
      <c r="A988" s="15" t="s">
        <v>42</v>
      </c>
      <c r="B988" s="9">
        <f>SUBTOTAL(109,B984:B987)</f>
        <v>0.97775948620044928</v>
      </c>
      <c r="C988" s="10">
        <f>SUBTOTAL(109,C984:C987)</f>
        <v>1</v>
      </c>
      <c r="D988" s="7"/>
      <c r="E988" s="11"/>
      <c r="F988" s="18"/>
      <c r="G988" s="51"/>
    </row>
    <row r="989" spans="1:7" ht="15" thickBot="1" x14ac:dyDescent="0.25">
      <c r="A989" s="16" t="s">
        <v>43</v>
      </c>
      <c r="B989" s="12">
        <v>0.47244792838899019</v>
      </c>
      <c r="C989" s="4">
        <v>0.2</v>
      </c>
      <c r="D989" s="13" t="s">
        <v>12</v>
      </c>
      <c r="E989" s="6" t="s">
        <v>25</v>
      </c>
      <c r="F989" s="17" t="s">
        <v>45</v>
      </c>
      <c r="G989" s="51"/>
    </row>
    <row r="990" spans="1:7" ht="26.25" thickBot="1" x14ac:dyDescent="0.25">
      <c r="A990" s="24" t="s">
        <v>46</v>
      </c>
      <c r="B990" s="25"/>
      <c r="C990" s="26">
        <v>6.9999999999999999E-4</v>
      </c>
      <c r="D990" s="25"/>
      <c r="E990" s="25"/>
      <c r="F990" s="27"/>
      <c r="G990" s="51"/>
    </row>
    <row r="991" spans="1:7" ht="15" thickBot="1" x14ac:dyDescent="0.25">
      <c r="A991" s="49" t="s">
        <v>387</v>
      </c>
      <c r="B991" s="49"/>
      <c r="C991" s="49"/>
      <c r="D991" s="49"/>
      <c r="E991" s="49"/>
      <c r="F991" s="49"/>
      <c r="G991" s="51"/>
    </row>
    <row r="992" spans="1:7" ht="15" thickBot="1" x14ac:dyDescent="0.25">
      <c r="A992" s="43" t="s">
        <v>332</v>
      </c>
      <c r="B992" s="43"/>
      <c r="C992" s="43"/>
      <c r="D992" s="43"/>
      <c r="E992" s="43"/>
      <c r="F992" s="43"/>
      <c r="G992" s="51"/>
    </row>
    <row r="993" spans="1:7" x14ac:dyDescent="0.2">
      <c r="A993" s="1" t="s">
        <v>1</v>
      </c>
      <c r="B993" s="44" t="s">
        <v>278</v>
      </c>
      <c r="C993" s="45"/>
      <c r="D993" s="45"/>
      <c r="E993" s="45"/>
      <c r="F993" s="46"/>
      <c r="G993" s="51"/>
    </row>
    <row r="994" spans="1:7" ht="15" thickBot="1" x14ac:dyDescent="0.25">
      <c r="A994" s="2" t="s">
        <v>3</v>
      </c>
      <c r="B994" s="40" t="s">
        <v>279</v>
      </c>
      <c r="C994" s="41"/>
      <c r="D994" s="41"/>
      <c r="E994" s="41"/>
      <c r="F994" s="42"/>
      <c r="G994" s="51"/>
    </row>
    <row r="995" spans="1:7" ht="15" thickBot="1" x14ac:dyDescent="0.25">
      <c r="A995" s="19" t="s">
        <v>5</v>
      </c>
      <c r="B995" s="20" t="s">
        <v>6</v>
      </c>
      <c r="C995" s="21" t="s">
        <v>7</v>
      </c>
      <c r="D995" s="21" t="s">
        <v>8</v>
      </c>
      <c r="E995" s="22" t="s">
        <v>9</v>
      </c>
      <c r="F995" s="23" t="s">
        <v>10</v>
      </c>
      <c r="G995" s="51"/>
    </row>
    <row r="996" spans="1:7" ht="25.5" x14ac:dyDescent="0.2">
      <c r="A996" s="14" t="s">
        <v>11</v>
      </c>
      <c r="B996" s="3">
        <v>0.50232500335316521</v>
      </c>
      <c r="C996" s="4">
        <v>0.6</v>
      </c>
      <c r="D996" s="5" t="s">
        <v>12</v>
      </c>
      <c r="E996" s="6" t="s">
        <v>399</v>
      </c>
      <c r="F996" s="17" t="s">
        <v>400</v>
      </c>
      <c r="G996" s="51"/>
    </row>
    <row r="997" spans="1:7" x14ac:dyDescent="0.2">
      <c r="A997" s="15" t="s">
        <v>360</v>
      </c>
      <c r="B997" s="3">
        <v>0</v>
      </c>
      <c r="C997" s="4">
        <v>0</v>
      </c>
      <c r="D997" s="7" t="s">
        <v>16</v>
      </c>
      <c r="E997" s="6" t="s">
        <v>23</v>
      </c>
      <c r="F997" s="17">
        <v>0</v>
      </c>
      <c r="G997" s="51"/>
    </row>
    <row r="998" spans="1:7" x14ac:dyDescent="0.2">
      <c r="A998" s="15" t="s">
        <v>19</v>
      </c>
      <c r="B998" s="3">
        <v>0.11031884315884831</v>
      </c>
      <c r="C998" s="4">
        <v>0</v>
      </c>
      <c r="D998" s="7" t="s">
        <v>16</v>
      </c>
      <c r="E998" s="6" t="s">
        <v>23</v>
      </c>
      <c r="F998" s="17"/>
      <c r="G998" s="51"/>
    </row>
    <row r="999" spans="1:7" ht="38.25" x14ac:dyDescent="0.2">
      <c r="A999" s="15" t="s">
        <v>24</v>
      </c>
      <c r="B999" s="3">
        <v>0.36465727028645961</v>
      </c>
      <c r="C999" s="4">
        <v>0.4</v>
      </c>
      <c r="D999" s="7" t="s">
        <v>12</v>
      </c>
      <c r="E999" s="6" t="s">
        <v>325</v>
      </c>
      <c r="F999" s="17" t="s">
        <v>401</v>
      </c>
      <c r="G999" s="51"/>
    </row>
    <row r="1000" spans="1:7" x14ac:dyDescent="0.2">
      <c r="A1000" s="15" t="s">
        <v>42</v>
      </c>
      <c r="B1000" s="9">
        <f>SUBTOTAL(109,B996:B999)</f>
        <v>0.97730111679847309</v>
      </c>
      <c r="C1000" s="10">
        <f>SUBTOTAL(109,C996:C999)</f>
        <v>1</v>
      </c>
      <c r="D1000" s="7"/>
      <c r="E1000" s="11"/>
      <c r="F1000" s="18"/>
      <c r="G1000" s="51"/>
    </row>
    <row r="1001" spans="1:7" ht="15" thickBot="1" x14ac:dyDescent="0.25">
      <c r="A1001" s="16" t="s">
        <v>43</v>
      </c>
      <c r="B1001" s="3">
        <v>0.50950035903051027</v>
      </c>
      <c r="C1001" s="4">
        <v>0.2</v>
      </c>
      <c r="D1001" s="13" t="s">
        <v>12</v>
      </c>
      <c r="E1001" s="6" t="s">
        <v>25</v>
      </c>
      <c r="F1001" s="17" t="s">
        <v>45</v>
      </c>
      <c r="G1001" s="51"/>
    </row>
    <row r="1002" spans="1:7" ht="26.25" thickBot="1" x14ac:dyDescent="0.25">
      <c r="A1002" s="24" t="s">
        <v>46</v>
      </c>
      <c r="B1002" s="25"/>
      <c r="C1002" s="26">
        <v>6.9999999999999999E-4</v>
      </c>
      <c r="D1002" s="25"/>
      <c r="E1002" s="25"/>
      <c r="F1002" s="27"/>
      <c r="G1002" s="51"/>
    </row>
    <row r="1003" spans="1:7" ht="15" thickBot="1" x14ac:dyDescent="0.25">
      <c r="A1003" s="49" t="s">
        <v>388</v>
      </c>
      <c r="B1003" s="49"/>
      <c r="C1003" s="49"/>
      <c r="D1003" s="49"/>
      <c r="E1003" s="49"/>
      <c r="F1003" s="49"/>
      <c r="G1003" s="51"/>
    </row>
    <row r="1004" spans="1:7" ht="15" thickBot="1" x14ac:dyDescent="0.25">
      <c r="A1004" s="43" t="s">
        <v>332</v>
      </c>
      <c r="B1004" s="43"/>
      <c r="C1004" s="43"/>
      <c r="D1004" s="43"/>
      <c r="E1004" s="43"/>
      <c r="F1004" s="43"/>
      <c r="G1004" s="51"/>
    </row>
    <row r="1005" spans="1:7" x14ac:dyDescent="0.2">
      <c r="A1005" s="1" t="s">
        <v>1</v>
      </c>
      <c r="B1005" s="44" t="s">
        <v>281</v>
      </c>
      <c r="C1005" s="45"/>
      <c r="D1005" s="45"/>
      <c r="E1005" s="45"/>
      <c r="F1005" s="46"/>
      <c r="G1005" s="51"/>
    </row>
    <row r="1006" spans="1:7" ht="15" thickBot="1" x14ac:dyDescent="0.25">
      <c r="A1006" s="2" t="s">
        <v>3</v>
      </c>
      <c r="B1006" s="40" t="s">
        <v>282</v>
      </c>
      <c r="C1006" s="41"/>
      <c r="D1006" s="41"/>
      <c r="E1006" s="41"/>
      <c r="F1006" s="42"/>
      <c r="G1006" s="51"/>
    </row>
    <row r="1007" spans="1:7" ht="15" thickBot="1" x14ac:dyDescent="0.25">
      <c r="A1007" s="19" t="s">
        <v>5</v>
      </c>
      <c r="B1007" s="20" t="s">
        <v>6</v>
      </c>
      <c r="C1007" s="21" t="s">
        <v>7</v>
      </c>
      <c r="D1007" s="21" t="s">
        <v>8</v>
      </c>
      <c r="E1007" s="22" t="s">
        <v>9</v>
      </c>
      <c r="F1007" s="23" t="s">
        <v>10</v>
      </c>
      <c r="G1007" s="51"/>
    </row>
    <row r="1008" spans="1:7" ht="25.5" x14ac:dyDescent="0.2">
      <c r="A1008" s="14" t="s">
        <v>11</v>
      </c>
      <c r="B1008" s="3">
        <v>0.50033664836058767</v>
      </c>
      <c r="C1008" s="4">
        <v>0.6</v>
      </c>
      <c r="D1008" s="5" t="s">
        <v>12</v>
      </c>
      <c r="E1008" s="6" t="s">
        <v>399</v>
      </c>
      <c r="F1008" s="17" t="s">
        <v>400</v>
      </c>
      <c r="G1008" s="51"/>
    </row>
    <row r="1009" spans="1:7" x14ac:dyDescent="0.2">
      <c r="A1009" s="15" t="s">
        <v>360</v>
      </c>
      <c r="B1009" s="3">
        <v>0</v>
      </c>
      <c r="C1009" s="4">
        <v>0</v>
      </c>
      <c r="D1009" s="7" t="s">
        <v>16</v>
      </c>
      <c r="E1009" s="6" t="s">
        <v>23</v>
      </c>
      <c r="F1009" s="17">
        <v>0</v>
      </c>
      <c r="G1009" s="51"/>
    </row>
    <row r="1010" spans="1:7" x14ac:dyDescent="0.2">
      <c r="A1010" s="15" t="s">
        <v>19</v>
      </c>
      <c r="B1010" s="3">
        <v>0.11007742885745779</v>
      </c>
      <c r="C1010" s="4">
        <v>0</v>
      </c>
      <c r="D1010" s="7" t="s">
        <v>16</v>
      </c>
      <c r="E1010" s="6" t="s">
        <v>23</v>
      </c>
      <c r="F1010" s="17"/>
      <c r="G1010" s="51"/>
    </row>
    <row r="1011" spans="1:7" ht="38.25" x14ac:dyDescent="0.2">
      <c r="A1011" s="15" t="s">
        <v>24</v>
      </c>
      <c r="B1011" s="3">
        <v>0.36385927895848313</v>
      </c>
      <c r="C1011" s="4">
        <v>0.4</v>
      </c>
      <c r="D1011" s="7" t="s">
        <v>12</v>
      </c>
      <c r="E1011" s="6" t="s">
        <v>325</v>
      </c>
      <c r="F1011" s="17" t="s">
        <v>401</v>
      </c>
      <c r="G1011" s="51"/>
    </row>
    <row r="1012" spans="1:7" x14ac:dyDescent="0.2">
      <c r="A1012" s="15" t="s">
        <v>42</v>
      </c>
      <c r="B1012" s="9">
        <f>SUBTOTAL(109,B1008:B1011)</f>
        <v>0.97427335617652855</v>
      </c>
      <c r="C1012" s="10">
        <f>SUBTOTAL(109,C1008:C1011)</f>
        <v>1</v>
      </c>
      <c r="D1012" s="7"/>
      <c r="E1012" s="11"/>
      <c r="F1012" s="18"/>
      <c r="G1012" s="51"/>
    </row>
    <row r="1013" spans="1:7" ht="15" thickBot="1" x14ac:dyDescent="0.25">
      <c r="A1013" s="16" t="s">
        <v>43</v>
      </c>
      <c r="B1013" s="3">
        <v>0.51444895702827653</v>
      </c>
      <c r="C1013" s="4">
        <v>0.2</v>
      </c>
      <c r="D1013" s="13" t="s">
        <v>12</v>
      </c>
      <c r="E1013" s="6" t="s">
        <v>25</v>
      </c>
      <c r="F1013" s="17" t="s">
        <v>45</v>
      </c>
      <c r="G1013" s="51"/>
    </row>
    <row r="1014" spans="1:7" ht="26.25" thickBot="1" x14ac:dyDescent="0.25">
      <c r="A1014" s="24" t="s">
        <v>46</v>
      </c>
      <c r="B1014" s="25"/>
      <c r="C1014" s="26">
        <v>6.9999999999999999E-4</v>
      </c>
      <c r="D1014" s="25"/>
      <c r="E1014" s="25"/>
      <c r="F1014" s="27"/>
      <c r="G1014" s="51"/>
    </row>
    <row r="1015" spans="1:7" ht="15" thickBot="1" x14ac:dyDescent="0.25">
      <c r="A1015" s="49" t="s">
        <v>389</v>
      </c>
      <c r="B1015" s="49"/>
      <c r="C1015" s="49"/>
      <c r="D1015" s="49"/>
      <c r="E1015" s="49"/>
      <c r="F1015" s="49"/>
      <c r="G1015" s="51"/>
    </row>
    <row r="1016" spans="1:7" ht="15" thickBot="1" x14ac:dyDescent="0.25">
      <c r="A1016" s="43" t="s">
        <v>332</v>
      </c>
      <c r="B1016" s="43"/>
      <c r="C1016" s="43"/>
      <c r="D1016" s="43"/>
      <c r="E1016" s="43"/>
      <c r="F1016" s="43"/>
      <c r="G1016" s="51"/>
    </row>
    <row r="1017" spans="1:7" x14ac:dyDescent="0.2">
      <c r="A1017" s="1" t="s">
        <v>1</v>
      </c>
      <c r="B1017" s="44" t="s">
        <v>283</v>
      </c>
      <c r="C1017" s="45"/>
      <c r="D1017" s="45"/>
      <c r="E1017" s="45"/>
      <c r="F1017" s="46"/>
      <c r="G1017" s="51"/>
    </row>
    <row r="1018" spans="1:7" ht="15" thickBot="1" x14ac:dyDescent="0.25">
      <c r="A1018" s="2" t="s">
        <v>3</v>
      </c>
      <c r="B1018" s="40" t="s">
        <v>284</v>
      </c>
      <c r="C1018" s="41"/>
      <c r="D1018" s="41"/>
      <c r="E1018" s="41"/>
      <c r="F1018" s="42"/>
      <c r="G1018" s="51"/>
    </row>
    <row r="1019" spans="1:7" ht="15" thickBot="1" x14ac:dyDescent="0.25">
      <c r="A1019" s="19" t="s">
        <v>5</v>
      </c>
      <c r="B1019" s="20" t="s">
        <v>6</v>
      </c>
      <c r="C1019" s="21" t="s">
        <v>7</v>
      </c>
      <c r="D1019" s="21" t="s">
        <v>8</v>
      </c>
      <c r="E1019" s="22" t="s">
        <v>9</v>
      </c>
      <c r="F1019" s="23" t="s">
        <v>10</v>
      </c>
      <c r="G1019" s="51"/>
    </row>
    <row r="1020" spans="1:7" ht="25.5" x14ac:dyDescent="0.2">
      <c r="A1020" s="14" t="s">
        <v>11</v>
      </c>
      <c r="B1020" s="3">
        <v>0.50463979870359543</v>
      </c>
      <c r="C1020" s="4">
        <v>0.6</v>
      </c>
      <c r="D1020" s="5" t="s">
        <v>12</v>
      </c>
      <c r="E1020" s="6" t="s">
        <v>399</v>
      </c>
      <c r="F1020" s="17" t="s">
        <v>400</v>
      </c>
      <c r="G1020" s="51"/>
    </row>
    <row r="1021" spans="1:7" x14ac:dyDescent="0.2">
      <c r="A1021" s="15" t="s">
        <v>360</v>
      </c>
      <c r="B1021" s="3">
        <v>0</v>
      </c>
      <c r="C1021" s="4">
        <v>0</v>
      </c>
      <c r="D1021" s="7" t="s">
        <v>16</v>
      </c>
      <c r="E1021" s="6" t="s">
        <v>23</v>
      </c>
      <c r="F1021" s="17">
        <v>0</v>
      </c>
      <c r="G1021" s="51"/>
    </row>
    <row r="1022" spans="1:7" x14ac:dyDescent="0.2">
      <c r="A1022" s="15" t="s">
        <v>19</v>
      </c>
      <c r="B1022" s="3">
        <v>4.7254845413846655E-2</v>
      </c>
      <c r="C1022" s="4">
        <v>0</v>
      </c>
      <c r="D1022" s="7" t="s">
        <v>16</v>
      </c>
      <c r="E1022" s="6" t="s">
        <v>23</v>
      </c>
      <c r="F1022" s="17">
        <v>0</v>
      </c>
      <c r="G1022" s="51"/>
    </row>
    <row r="1023" spans="1:7" x14ac:dyDescent="0.2">
      <c r="A1023" s="15" t="s">
        <v>22</v>
      </c>
      <c r="B1023" s="3">
        <v>0.28215121888694844</v>
      </c>
      <c r="C1023" s="4">
        <v>0.28000000000000003</v>
      </c>
      <c r="D1023" s="7" t="s">
        <v>16</v>
      </c>
      <c r="E1023" s="6" t="s">
        <v>78</v>
      </c>
      <c r="F1023" s="17" t="s">
        <v>79</v>
      </c>
      <c r="G1023" s="51"/>
    </row>
    <row r="1024" spans="1:7" ht="38.25" x14ac:dyDescent="0.2">
      <c r="A1024" s="15" t="s">
        <v>24</v>
      </c>
      <c r="B1024" s="3">
        <v>0.15620017798418911</v>
      </c>
      <c r="C1024" s="4">
        <v>0.1</v>
      </c>
      <c r="D1024" s="7" t="s">
        <v>12</v>
      </c>
      <c r="E1024" s="6" t="s">
        <v>154</v>
      </c>
      <c r="F1024" s="17" t="s">
        <v>401</v>
      </c>
      <c r="G1024" s="51"/>
    </row>
    <row r="1025" spans="1:7" x14ac:dyDescent="0.2">
      <c r="A1025" s="15" t="s">
        <v>42</v>
      </c>
      <c r="B1025" s="9">
        <f>SUBTOTAL(109,B1020:B1024)</f>
        <v>0.9902460409885796</v>
      </c>
      <c r="C1025" s="10">
        <f>SUBTOTAL(109,C1020:C1024)</f>
        <v>0.98</v>
      </c>
      <c r="D1025" s="7"/>
      <c r="E1025" s="11"/>
      <c r="F1025" s="18"/>
      <c r="G1025" s="51"/>
    </row>
    <row r="1026" spans="1:7" ht="15" thickBot="1" x14ac:dyDescent="0.25">
      <c r="A1026" s="16" t="s">
        <v>43</v>
      </c>
      <c r="B1026" s="3">
        <v>0.36279383521147329</v>
      </c>
      <c r="C1026" s="4">
        <v>0.2</v>
      </c>
      <c r="D1026" s="13" t="s">
        <v>12</v>
      </c>
      <c r="E1026" s="6" t="s">
        <v>25</v>
      </c>
      <c r="F1026" s="17" t="s">
        <v>45</v>
      </c>
      <c r="G1026" s="51"/>
    </row>
    <row r="1027" spans="1:7" ht="26.25" thickBot="1" x14ac:dyDescent="0.25">
      <c r="A1027" s="24" t="s">
        <v>46</v>
      </c>
      <c r="B1027" s="25"/>
      <c r="C1027" s="26">
        <v>6.9999999999999999E-4</v>
      </c>
      <c r="D1027" s="25"/>
      <c r="E1027" s="25"/>
      <c r="F1027" s="27"/>
      <c r="G1027" s="51"/>
    </row>
    <row r="1028" spans="1:7" ht="15" thickBot="1" x14ac:dyDescent="0.25">
      <c r="A1028" s="49" t="s">
        <v>390</v>
      </c>
      <c r="B1028" s="49"/>
      <c r="C1028" s="49"/>
      <c r="D1028" s="49"/>
      <c r="E1028" s="49"/>
      <c r="F1028" s="49"/>
      <c r="G1028" s="51"/>
    </row>
    <row r="1029" spans="1:7" ht="15" thickBot="1" x14ac:dyDescent="0.25">
      <c r="A1029" s="43" t="s">
        <v>332</v>
      </c>
      <c r="B1029" s="43"/>
      <c r="C1029" s="43"/>
      <c r="D1029" s="43"/>
      <c r="E1029" s="43"/>
      <c r="F1029" s="43"/>
      <c r="G1029" s="51"/>
    </row>
    <row r="1030" spans="1:7" x14ac:dyDescent="0.2">
      <c r="A1030" s="1" t="s">
        <v>1</v>
      </c>
      <c r="B1030" s="44" t="s">
        <v>285</v>
      </c>
      <c r="C1030" s="45"/>
      <c r="D1030" s="45"/>
      <c r="E1030" s="45"/>
      <c r="F1030" s="46"/>
      <c r="G1030" s="51"/>
    </row>
    <row r="1031" spans="1:7" ht="15" thickBot="1" x14ac:dyDescent="0.25">
      <c r="A1031" s="2" t="s">
        <v>3</v>
      </c>
      <c r="B1031" s="40" t="s">
        <v>286</v>
      </c>
      <c r="C1031" s="41"/>
      <c r="D1031" s="41"/>
      <c r="E1031" s="41"/>
      <c r="F1031" s="42"/>
      <c r="G1031" s="51"/>
    </row>
    <row r="1032" spans="1:7" ht="15" thickBot="1" x14ac:dyDescent="0.25">
      <c r="A1032" s="19" t="s">
        <v>5</v>
      </c>
      <c r="B1032" s="20" t="s">
        <v>6</v>
      </c>
      <c r="C1032" s="21" t="s">
        <v>7</v>
      </c>
      <c r="D1032" s="21" t="s">
        <v>8</v>
      </c>
      <c r="E1032" s="22" t="s">
        <v>9</v>
      </c>
      <c r="F1032" s="23" t="s">
        <v>10</v>
      </c>
      <c r="G1032" s="51"/>
    </row>
    <row r="1033" spans="1:7" ht="25.5" x14ac:dyDescent="0.2">
      <c r="A1033" s="14" t="s">
        <v>11</v>
      </c>
      <c r="B1033" s="3">
        <v>0.49782786460426359</v>
      </c>
      <c r="C1033" s="4">
        <v>0.6</v>
      </c>
      <c r="D1033" s="5" t="s">
        <v>12</v>
      </c>
      <c r="E1033" s="6" t="s">
        <v>399</v>
      </c>
      <c r="F1033" s="17" t="s">
        <v>400</v>
      </c>
      <c r="G1033" s="51"/>
    </row>
    <row r="1034" spans="1:7" x14ac:dyDescent="0.2">
      <c r="A1034" s="15" t="s">
        <v>360</v>
      </c>
      <c r="B1034" s="3">
        <v>0</v>
      </c>
      <c r="C1034" s="4">
        <v>0</v>
      </c>
      <c r="D1034" s="7" t="s">
        <v>16</v>
      </c>
      <c r="E1034" s="6" t="s">
        <v>23</v>
      </c>
      <c r="F1034" s="17">
        <v>0</v>
      </c>
      <c r="G1034" s="51"/>
    </row>
    <row r="1035" spans="1:7" x14ac:dyDescent="0.2">
      <c r="A1035" s="15" t="s">
        <v>19</v>
      </c>
      <c r="B1035" s="3">
        <v>0.11002841114134972</v>
      </c>
      <c r="C1035" s="4">
        <v>0</v>
      </c>
      <c r="D1035" s="7" t="s">
        <v>16</v>
      </c>
      <c r="E1035" s="6" t="s">
        <v>23</v>
      </c>
      <c r="F1035" s="17"/>
      <c r="G1035" s="51"/>
    </row>
    <row r="1036" spans="1:7" ht="38.25" x14ac:dyDescent="0.2">
      <c r="A1036" s="15" t="s">
        <v>24</v>
      </c>
      <c r="B1036" s="3">
        <v>0.36369725163803773</v>
      </c>
      <c r="C1036" s="4">
        <v>0.4</v>
      </c>
      <c r="D1036" s="7" t="s">
        <v>12</v>
      </c>
      <c r="E1036" s="6" t="s">
        <v>325</v>
      </c>
      <c r="F1036" s="17" t="s">
        <v>401</v>
      </c>
      <c r="G1036" s="51"/>
    </row>
    <row r="1037" spans="1:7" x14ac:dyDescent="0.2">
      <c r="A1037" s="15" t="s">
        <v>42</v>
      </c>
      <c r="B1037" s="9">
        <f>SUBTOTAL(109,B1033:B1036)</f>
        <v>0.97155352738365108</v>
      </c>
      <c r="C1037" s="10">
        <f>SUBTOTAL(109,C1033:C1036)</f>
        <v>1</v>
      </c>
      <c r="D1037" s="7"/>
      <c r="E1037" s="11"/>
      <c r="F1037" s="18"/>
      <c r="G1037" s="51"/>
    </row>
    <row r="1038" spans="1:7" ht="15" thickBot="1" x14ac:dyDescent="0.25">
      <c r="A1038" s="16" t="s">
        <v>43</v>
      </c>
      <c r="B1038" s="3">
        <v>0.52416614281570917</v>
      </c>
      <c r="C1038" s="4">
        <v>0.2</v>
      </c>
      <c r="D1038" s="13" t="s">
        <v>12</v>
      </c>
      <c r="E1038" s="6" t="s">
        <v>25</v>
      </c>
      <c r="F1038" s="17" t="s">
        <v>45</v>
      </c>
      <c r="G1038" s="51"/>
    </row>
    <row r="1039" spans="1:7" ht="26.25" thickBot="1" x14ac:dyDescent="0.25">
      <c r="A1039" s="24" t="s">
        <v>46</v>
      </c>
      <c r="B1039" s="25"/>
      <c r="C1039" s="26">
        <v>6.9999999999999999E-4</v>
      </c>
      <c r="D1039" s="25"/>
      <c r="E1039" s="25"/>
      <c r="F1039" s="27"/>
      <c r="G1039" s="51"/>
    </row>
    <row r="1040" spans="1:7" ht="15" thickBot="1" x14ac:dyDescent="0.25">
      <c r="A1040" s="49" t="s">
        <v>391</v>
      </c>
      <c r="B1040" s="49"/>
      <c r="C1040" s="49"/>
      <c r="D1040" s="49"/>
      <c r="E1040" s="49"/>
      <c r="F1040" s="49"/>
      <c r="G1040" s="51"/>
    </row>
    <row r="1041" spans="1:7" ht="15" thickBot="1" x14ac:dyDescent="0.25">
      <c r="A1041" s="43" t="s">
        <v>332</v>
      </c>
      <c r="B1041" s="43"/>
      <c r="C1041" s="43"/>
      <c r="D1041" s="43"/>
      <c r="E1041" s="43"/>
      <c r="F1041" s="43"/>
      <c r="G1041" s="51"/>
    </row>
    <row r="1042" spans="1:7" x14ac:dyDescent="0.2">
      <c r="A1042" s="1" t="s">
        <v>1</v>
      </c>
      <c r="B1042" s="44" t="s">
        <v>287</v>
      </c>
      <c r="C1042" s="45"/>
      <c r="D1042" s="45"/>
      <c r="E1042" s="45"/>
      <c r="F1042" s="46"/>
      <c r="G1042" s="51"/>
    </row>
    <row r="1043" spans="1:7" ht="15" thickBot="1" x14ac:dyDescent="0.25">
      <c r="A1043" s="2" t="s">
        <v>3</v>
      </c>
      <c r="B1043" s="40" t="s">
        <v>288</v>
      </c>
      <c r="C1043" s="41"/>
      <c r="D1043" s="41"/>
      <c r="E1043" s="41"/>
      <c r="F1043" s="42"/>
      <c r="G1043" s="51"/>
    </row>
    <row r="1044" spans="1:7" ht="15" thickBot="1" x14ac:dyDescent="0.25">
      <c r="A1044" s="19" t="s">
        <v>5</v>
      </c>
      <c r="B1044" s="20" t="s">
        <v>6</v>
      </c>
      <c r="C1044" s="21" t="s">
        <v>7</v>
      </c>
      <c r="D1044" s="21" t="s">
        <v>8</v>
      </c>
      <c r="E1044" s="22" t="s">
        <v>9</v>
      </c>
      <c r="F1044" s="23" t="s">
        <v>10</v>
      </c>
      <c r="G1044" s="51"/>
    </row>
    <row r="1045" spans="1:7" ht="38.25" x14ac:dyDescent="0.2">
      <c r="A1045" s="14" t="s">
        <v>11</v>
      </c>
      <c r="B1045" s="3">
        <v>0.23230136156232503</v>
      </c>
      <c r="C1045" s="4">
        <v>0.19</v>
      </c>
      <c r="D1045" s="5" t="s">
        <v>12</v>
      </c>
      <c r="E1045" s="6" t="s">
        <v>44</v>
      </c>
      <c r="F1045" s="17" t="s">
        <v>280</v>
      </c>
      <c r="G1045" s="51"/>
    </row>
    <row r="1046" spans="1:7" x14ac:dyDescent="0.2">
      <c r="A1046" s="15" t="s">
        <v>360</v>
      </c>
      <c r="B1046" s="3">
        <v>0</v>
      </c>
      <c r="C1046" s="4">
        <v>0</v>
      </c>
      <c r="D1046" s="7" t="s">
        <v>16</v>
      </c>
      <c r="E1046" s="6" t="s">
        <v>23</v>
      </c>
      <c r="F1046" s="17">
        <v>0</v>
      </c>
      <c r="G1046" s="51"/>
    </row>
    <row r="1047" spans="1:7" x14ac:dyDescent="0.2">
      <c r="A1047" s="15" t="s">
        <v>19</v>
      </c>
      <c r="B1047" s="3">
        <v>0.17124444575493075</v>
      </c>
      <c r="C1047" s="4">
        <v>0.2</v>
      </c>
      <c r="D1047" s="7" t="s">
        <v>16</v>
      </c>
      <c r="E1047" s="6" t="s">
        <v>53</v>
      </c>
      <c r="F1047" s="17" t="s">
        <v>202</v>
      </c>
      <c r="G1047" s="51"/>
    </row>
    <row r="1048" spans="1:7" ht="51" x14ac:dyDescent="0.2">
      <c r="A1048" s="15" t="s">
        <v>24</v>
      </c>
      <c r="B1048" s="3">
        <v>0.5660459297129804</v>
      </c>
      <c r="C1048" s="4">
        <v>0.56000000000000005</v>
      </c>
      <c r="D1048" s="7" t="s">
        <v>12</v>
      </c>
      <c r="E1048" s="6" t="s">
        <v>289</v>
      </c>
      <c r="F1048" s="17" t="s">
        <v>277</v>
      </c>
      <c r="G1048" s="51"/>
    </row>
    <row r="1049" spans="1:7" x14ac:dyDescent="0.2">
      <c r="A1049" s="15" t="s">
        <v>42</v>
      </c>
      <c r="B1049" s="9">
        <f>SUBTOTAL(109,B1045:B1048)</f>
        <v>0.96959173703023616</v>
      </c>
      <c r="C1049" s="10">
        <f>SUBTOTAL(109,C1045:C1048)</f>
        <v>0.95000000000000007</v>
      </c>
      <c r="D1049" s="7"/>
      <c r="E1049" s="11"/>
      <c r="F1049" s="18"/>
      <c r="G1049" s="51"/>
    </row>
    <row r="1050" spans="1:7" ht="15" thickBot="1" x14ac:dyDescent="0.25">
      <c r="A1050" s="16" t="s">
        <v>43</v>
      </c>
      <c r="B1050" s="3">
        <v>1.0307293215613089</v>
      </c>
      <c r="C1050" s="4">
        <v>0.98</v>
      </c>
      <c r="D1050" s="13" t="s">
        <v>12</v>
      </c>
      <c r="E1050" s="6" t="s">
        <v>115</v>
      </c>
      <c r="F1050" s="17" t="s">
        <v>45</v>
      </c>
      <c r="G1050" s="51"/>
    </row>
    <row r="1051" spans="1:7" ht="26.25" thickBot="1" x14ac:dyDescent="0.25">
      <c r="A1051" s="24" t="s">
        <v>46</v>
      </c>
      <c r="B1051" s="25"/>
      <c r="C1051" s="26">
        <v>6.9999999999999999E-4</v>
      </c>
      <c r="D1051" s="25"/>
      <c r="E1051" s="25"/>
      <c r="F1051" s="27"/>
      <c r="G1051" s="51"/>
    </row>
    <row r="1052" spans="1:7" ht="15" thickBot="1" x14ac:dyDescent="0.25">
      <c r="A1052" s="49" t="s">
        <v>392</v>
      </c>
      <c r="B1052" s="49"/>
      <c r="C1052" s="49"/>
      <c r="D1052" s="49"/>
      <c r="E1052" s="49"/>
      <c r="F1052" s="49"/>
      <c r="G1052" s="51"/>
    </row>
    <row r="1053" spans="1:7" ht="15" thickBot="1" x14ac:dyDescent="0.25">
      <c r="A1053" s="43" t="s">
        <v>332</v>
      </c>
      <c r="B1053" s="43"/>
      <c r="C1053" s="43"/>
      <c r="D1053" s="43"/>
      <c r="E1053" s="43"/>
      <c r="F1053" s="43"/>
      <c r="G1053" s="51"/>
    </row>
    <row r="1054" spans="1:7" x14ac:dyDescent="0.2">
      <c r="A1054" s="1" t="s">
        <v>1</v>
      </c>
      <c r="B1054" s="44" t="s">
        <v>290</v>
      </c>
      <c r="C1054" s="45"/>
      <c r="D1054" s="45"/>
      <c r="E1054" s="45"/>
      <c r="F1054" s="46"/>
      <c r="G1054" s="51"/>
    </row>
    <row r="1055" spans="1:7" ht="15" thickBot="1" x14ac:dyDescent="0.25">
      <c r="A1055" s="2" t="s">
        <v>3</v>
      </c>
      <c r="B1055" s="40" t="s">
        <v>291</v>
      </c>
      <c r="C1055" s="41"/>
      <c r="D1055" s="41"/>
      <c r="E1055" s="41"/>
      <c r="F1055" s="42"/>
      <c r="G1055" s="51"/>
    </row>
    <row r="1056" spans="1:7" ht="15" thickBot="1" x14ac:dyDescent="0.25">
      <c r="A1056" s="19" t="s">
        <v>5</v>
      </c>
      <c r="B1056" s="20" t="s">
        <v>6</v>
      </c>
      <c r="C1056" s="21" t="s">
        <v>7</v>
      </c>
      <c r="D1056" s="21" t="s">
        <v>8</v>
      </c>
      <c r="E1056" s="22" t="s">
        <v>9</v>
      </c>
      <c r="F1056" s="23" t="s">
        <v>10</v>
      </c>
      <c r="G1056" s="51"/>
    </row>
    <row r="1057" spans="1:7" ht="38.25" x14ac:dyDescent="0.2">
      <c r="A1057" s="14" t="s">
        <v>11</v>
      </c>
      <c r="B1057" s="3">
        <v>0.2315449004444658</v>
      </c>
      <c r="C1057" s="4">
        <v>0.19</v>
      </c>
      <c r="D1057" s="5" t="s">
        <v>12</v>
      </c>
      <c r="E1057" s="6" t="s">
        <v>44</v>
      </c>
      <c r="F1057" s="17" t="s">
        <v>280</v>
      </c>
      <c r="G1057" s="51"/>
    </row>
    <row r="1058" spans="1:7" x14ac:dyDescent="0.2">
      <c r="A1058" s="15" t="s">
        <v>360</v>
      </c>
      <c r="B1058" s="3">
        <v>0</v>
      </c>
      <c r="C1058" s="4">
        <v>0</v>
      </c>
      <c r="D1058" s="7" t="s">
        <v>16</v>
      </c>
      <c r="E1058" s="6" t="s">
        <v>23</v>
      </c>
      <c r="F1058" s="17">
        <v>0</v>
      </c>
      <c r="G1058" s="51"/>
    </row>
    <row r="1059" spans="1:7" x14ac:dyDescent="0.2">
      <c r="A1059" s="15" t="s">
        <v>19</v>
      </c>
      <c r="B1059" s="3">
        <v>0.1747168507690855</v>
      </c>
      <c r="C1059" s="4">
        <v>0.2</v>
      </c>
      <c r="D1059" s="7" t="s">
        <v>16</v>
      </c>
      <c r="E1059" s="6" t="s">
        <v>53</v>
      </c>
      <c r="F1059" s="17" t="s">
        <v>202</v>
      </c>
      <c r="G1059" s="51"/>
    </row>
    <row r="1060" spans="1:7" ht="51" x14ac:dyDescent="0.2">
      <c r="A1060" s="15" t="s">
        <v>24</v>
      </c>
      <c r="B1060" s="3">
        <v>0.57752391205519371</v>
      </c>
      <c r="C1060" s="4">
        <v>0.56000000000000005</v>
      </c>
      <c r="D1060" s="7" t="s">
        <v>12</v>
      </c>
      <c r="E1060" s="6" t="s">
        <v>289</v>
      </c>
      <c r="F1060" s="17" t="s">
        <v>277</v>
      </c>
      <c r="G1060" s="51"/>
    </row>
    <row r="1061" spans="1:7" x14ac:dyDescent="0.2">
      <c r="A1061" s="15" t="s">
        <v>42</v>
      </c>
      <c r="B1061" s="9">
        <f>SUBTOTAL(109,B1057:B1060)</f>
        <v>0.98378566326874495</v>
      </c>
      <c r="C1061" s="10">
        <f>SUBTOTAL(109,C1057:C1060)</f>
        <v>0.95000000000000007</v>
      </c>
      <c r="D1061" s="7"/>
      <c r="E1061" s="11"/>
      <c r="F1061" s="18"/>
      <c r="G1061" s="51"/>
    </row>
    <row r="1062" spans="1:7" ht="15" thickBot="1" x14ac:dyDescent="0.25">
      <c r="A1062" s="16" t="s">
        <v>43</v>
      </c>
      <c r="B1062" s="3">
        <v>1.0079206464344139</v>
      </c>
      <c r="C1062" s="4">
        <v>0.98</v>
      </c>
      <c r="D1062" s="13" t="s">
        <v>12</v>
      </c>
      <c r="E1062" s="6" t="s">
        <v>115</v>
      </c>
      <c r="F1062" s="17" t="s">
        <v>45</v>
      </c>
      <c r="G1062" s="51"/>
    </row>
    <row r="1063" spans="1:7" ht="26.25" thickBot="1" x14ac:dyDescent="0.25">
      <c r="A1063" s="24" t="s">
        <v>46</v>
      </c>
      <c r="B1063" s="25"/>
      <c r="C1063" s="26">
        <v>6.9999999999999999E-4</v>
      </c>
      <c r="D1063" s="25"/>
      <c r="E1063" s="25"/>
      <c r="F1063" s="27"/>
      <c r="G1063" s="51"/>
    </row>
    <row r="1064" spans="1:7" ht="15" thickBot="1" x14ac:dyDescent="0.25">
      <c r="A1064" s="49" t="s">
        <v>393</v>
      </c>
      <c r="B1064" s="49"/>
      <c r="C1064" s="49"/>
      <c r="D1064" s="49"/>
      <c r="E1064" s="49"/>
      <c r="F1064" s="49"/>
      <c r="G1064" s="51"/>
    </row>
    <row r="1065" spans="1:7" ht="15" thickBot="1" x14ac:dyDescent="0.25">
      <c r="A1065" s="43" t="s">
        <v>332</v>
      </c>
      <c r="B1065" s="43"/>
      <c r="C1065" s="43"/>
      <c r="D1065" s="43"/>
      <c r="E1065" s="43"/>
      <c r="F1065" s="43"/>
      <c r="G1065" s="51"/>
    </row>
    <row r="1066" spans="1:7" x14ac:dyDescent="0.2">
      <c r="A1066" s="1" t="s">
        <v>1</v>
      </c>
      <c r="B1066" s="44" t="s">
        <v>292</v>
      </c>
      <c r="C1066" s="45"/>
      <c r="D1066" s="45"/>
      <c r="E1066" s="45"/>
      <c r="F1066" s="46"/>
      <c r="G1066" s="51"/>
    </row>
    <row r="1067" spans="1:7" ht="15" thickBot="1" x14ac:dyDescent="0.25">
      <c r="A1067" s="2" t="s">
        <v>3</v>
      </c>
      <c r="B1067" s="40" t="s">
        <v>293</v>
      </c>
      <c r="C1067" s="41"/>
      <c r="D1067" s="41"/>
      <c r="E1067" s="41"/>
      <c r="F1067" s="42"/>
      <c r="G1067" s="51"/>
    </row>
    <row r="1068" spans="1:7" ht="15" thickBot="1" x14ac:dyDescent="0.25">
      <c r="A1068" s="19" t="s">
        <v>5</v>
      </c>
      <c r="B1068" s="20" t="s">
        <v>6</v>
      </c>
      <c r="C1068" s="21" t="s">
        <v>7</v>
      </c>
      <c r="D1068" s="21" t="s">
        <v>8</v>
      </c>
      <c r="E1068" s="22" t="s">
        <v>9</v>
      </c>
      <c r="F1068" s="23" t="s">
        <v>10</v>
      </c>
      <c r="G1068" s="51"/>
    </row>
    <row r="1069" spans="1:7" ht="38.25" x14ac:dyDescent="0.2">
      <c r="A1069" s="14" t="s">
        <v>11</v>
      </c>
      <c r="B1069" s="3">
        <v>0.22902625513706254</v>
      </c>
      <c r="C1069" s="4">
        <v>0.19</v>
      </c>
      <c r="D1069" s="5" t="s">
        <v>12</v>
      </c>
      <c r="E1069" s="6" t="s">
        <v>44</v>
      </c>
      <c r="F1069" s="17" t="s">
        <v>280</v>
      </c>
      <c r="G1069" s="51"/>
    </row>
    <row r="1070" spans="1:7" x14ac:dyDescent="0.2">
      <c r="A1070" s="15" t="s">
        <v>360</v>
      </c>
      <c r="B1070" s="3">
        <v>0</v>
      </c>
      <c r="C1070" s="4">
        <v>0</v>
      </c>
      <c r="D1070" s="7" t="s">
        <v>16</v>
      </c>
      <c r="E1070" s="6" t="s">
        <v>23</v>
      </c>
      <c r="F1070" s="17">
        <v>0</v>
      </c>
      <c r="G1070" s="51"/>
    </row>
    <row r="1071" spans="1:7" x14ac:dyDescent="0.2">
      <c r="A1071" s="15" t="s">
        <v>19</v>
      </c>
      <c r="B1071" s="3">
        <v>0.16982424483534792</v>
      </c>
      <c r="C1071" s="4">
        <v>0.2</v>
      </c>
      <c r="D1071" s="7" t="s">
        <v>16</v>
      </c>
      <c r="E1071" s="6" t="s">
        <v>53</v>
      </c>
      <c r="F1071" s="17" t="s">
        <v>202</v>
      </c>
      <c r="G1071" s="51"/>
    </row>
    <row r="1072" spans="1:7" ht="51" x14ac:dyDescent="0.2">
      <c r="A1072" s="15" t="s">
        <v>24</v>
      </c>
      <c r="B1072" s="3">
        <v>0.56135147701782562</v>
      </c>
      <c r="C1072" s="4">
        <v>0.56000000000000005</v>
      </c>
      <c r="D1072" s="7" t="s">
        <v>12</v>
      </c>
      <c r="E1072" s="6" t="s">
        <v>289</v>
      </c>
      <c r="F1072" s="17" t="s">
        <v>277</v>
      </c>
      <c r="G1072" s="51"/>
    </row>
    <row r="1073" spans="1:7" x14ac:dyDescent="0.2">
      <c r="A1073" s="15" t="s">
        <v>42</v>
      </c>
      <c r="B1073" s="9">
        <f>SUBTOTAL(109,B1069:B1072)</f>
        <v>0.96020197699023613</v>
      </c>
      <c r="C1073" s="10">
        <f>SUBTOTAL(109,C1069:C1072)</f>
        <v>0.95000000000000007</v>
      </c>
      <c r="D1073" s="7"/>
      <c r="E1073" s="11"/>
      <c r="F1073" s="18"/>
      <c r="G1073" s="51"/>
    </row>
    <row r="1074" spans="1:7" ht="15" thickBot="1" x14ac:dyDescent="0.25">
      <c r="A1074" s="16" t="s">
        <v>43</v>
      </c>
      <c r="B1074" s="3">
        <v>0.96661397846298724</v>
      </c>
      <c r="C1074" s="4">
        <v>0.98</v>
      </c>
      <c r="D1074" s="13" t="s">
        <v>12</v>
      </c>
      <c r="E1074" s="6" t="s">
        <v>115</v>
      </c>
      <c r="F1074" s="17" t="s">
        <v>45</v>
      </c>
      <c r="G1074" s="51"/>
    </row>
    <row r="1075" spans="1:7" ht="26.25" thickBot="1" x14ac:dyDescent="0.25">
      <c r="A1075" s="24" t="s">
        <v>46</v>
      </c>
      <c r="B1075" s="25"/>
      <c r="C1075" s="26">
        <v>6.9999999999999999E-4</v>
      </c>
      <c r="D1075" s="25"/>
      <c r="E1075" s="25"/>
      <c r="F1075" s="27"/>
      <c r="G1075" s="51"/>
    </row>
    <row r="1076" spans="1:7" ht="15" thickBot="1" x14ac:dyDescent="0.25">
      <c r="A1076" s="49" t="s">
        <v>394</v>
      </c>
      <c r="B1076" s="49"/>
      <c r="C1076" s="49"/>
      <c r="D1076" s="49"/>
      <c r="E1076" s="49"/>
      <c r="F1076" s="49"/>
      <c r="G1076" s="51"/>
    </row>
    <row r="1077" spans="1:7" ht="15" thickBot="1" x14ac:dyDescent="0.25">
      <c r="A1077" s="43" t="s">
        <v>332</v>
      </c>
      <c r="B1077" s="43"/>
      <c r="C1077" s="43"/>
      <c r="D1077" s="43"/>
      <c r="E1077" s="43"/>
      <c r="F1077" s="43"/>
      <c r="G1077" s="51"/>
    </row>
    <row r="1078" spans="1:7" x14ac:dyDescent="0.2">
      <c r="A1078" s="1" t="s">
        <v>1</v>
      </c>
      <c r="B1078" s="44" t="s">
        <v>294</v>
      </c>
      <c r="C1078" s="45"/>
      <c r="D1078" s="45"/>
      <c r="E1078" s="45"/>
      <c r="F1078" s="46"/>
      <c r="G1078" s="51"/>
    </row>
    <row r="1079" spans="1:7" ht="15" thickBot="1" x14ac:dyDescent="0.25">
      <c r="A1079" s="2" t="s">
        <v>3</v>
      </c>
      <c r="B1079" s="40" t="s">
        <v>295</v>
      </c>
      <c r="C1079" s="41"/>
      <c r="D1079" s="41"/>
      <c r="E1079" s="41"/>
      <c r="F1079" s="42"/>
      <c r="G1079" s="51"/>
    </row>
    <row r="1080" spans="1:7" ht="15" thickBot="1" x14ac:dyDescent="0.25">
      <c r="A1080" s="19" t="s">
        <v>5</v>
      </c>
      <c r="B1080" s="20" t="s">
        <v>6</v>
      </c>
      <c r="C1080" s="21" t="s">
        <v>7</v>
      </c>
      <c r="D1080" s="21" t="s">
        <v>8</v>
      </c>
      <c r="E1080" s="22" t="s">
        <v>9</v>
      </c>
      <c r="F1080" s="23" t="s">
        <v>10</v>
      </c>
      <c r="G1080" s="51"/>
    </row>
    <row r="1081" spans="1:7" x14ac:dyDescent="0.2">
      <c r="A1081" s="14" t="s">
        <v>11</v>
      </c>
      <c r="B1081" s="3">
        <v>0.20646127966331299</v>
      </c>
      <c r="C1081" s="4">
        <v>0.19</v>
      </c>
      <c r="D1081" s="5" t="s">
        <v>12</v>
      </c>
      <c r="E1081" s="6" t="s">
        <v>44</v>
      </c>
      <c r="F1081" s="17" t="s">
        <v>296</v>
      </c>
      <c r="G1081" s="51"/>
    </row>
    <row r="1082" spans="1:7" x14ac:dyDescent="0.2">
      <c r="A1082" s="15" t="s">
        <v>360</v>
      </c>
      <c r="B1082" s="3">
        <v>0.34685042451882719</v>
      </c>
      <c r="C1082" s="4">
        <v>0.33</v>
      </c>
      <c r="D1082" s="7" t="s">
        <v>16</v>
      </c>
      <c r="E1082" s="6" t="s">
        <v>297</v>
      </c>
      <c r="F1082" s="17" t="s">
        <v>18</v>
      </c>
      <c r="G1082" s="51"/>
    </row>
    <row r="1083" spans="1:7" x14ac:dyDescent="0.2">
      <c r="A1083" s="15" t="s">
        <v>19</v>
      </c>
      <c r="B1083" s="3">
        <v>5.6259568711662516E-3</v>
      </c>
      <c r="C1083" s="4">
        <v>0</v>
      </c>
      <c r="D1083" s="7" t="s">
        <v>16</v>
      </c>
      <c r="E1083" s="6" t="s">
        <v>23</v>
      </c>
      <c r="F1083" s="17">
        <v>0</v>
      </c>
      <c r="G1083" s="51"/>
    </row>
    <row r="1084" spans="1:7" x14ac:dyDescent="0.2">
      <c r="A1084" s="15" t="s">
        <v>24</v>
      </c>
      <c r="B1084" s="3">
        <v>0.41049817738774053</v>
      </c>
      <c r="C1084" s="4">
        <v>0.42</v>
      </c>
      <c r="D1084" s="7" t="s">
        <v>12</v>
      </c>
      <c r="E1084" s="6" t="s">
        <v>298</v>
      </c>
      <c r="F1084" s="17" t="s">
        <v>196</v>
      </c>
      <c r="G1084" s="51"/>
    </row>
    <row r="1085" spans="1:7" x14ac:dyDescent="0.2">
      <c r="A1085" s="15" t="s">
        <v>42</v>
      </c>
      <c r="B1085" s="9">
        <f>SUBTOTAL(109,B1081:B1084)</f>
        <v>0.96943583844104697</v>
      </c>
      <c r="C1085" s="10">
        <f>SUBTOTAL(109,C1081:C1084)</f>
        <v>0.94</v>
      </c>
      <c r="D1085" s="7"/>
      <c r="E1085" s="11"/>
      <c r="F1085" s="18"/>
      <c r="G1085" s="51"/>
    </row>
    <row r="1086" spans="1:7" ht="15" thickBot="1" x14ac:dyDescent="0.25">
      <c r="A1086" s="16" t="s">
        <v>43</v>
      </c>
      <c r="B1086" s="3">
        <v>5.2247677442668138E-2</v>
      </c>
      <c r="C1086" s="4">
        <v>0.06</v>
      </c>
      <c r="D1086" s="13" t="s">
        <v>12</v>
      </c>
      <c r="E1086" s="6" t="s">
        <v>64</v>
      </c>
      <c r="F1086" s="17" t="s">
        <v>45</v>
      </c>
      <c r="G1086" s="51"/>
    </row>
    <row r="1087" spans="1:7" ht="26.25" thickBot="1" x14ac:dyDescent="0.25">
      <c r="A1087" s="24" t="s">
        <v>46</v>
      </c>
      <c r="B1087" s="25"/>
      <c r="C1087" s="26">
        <v>8.0000000000000004E-4</v>
      </c>
      <c r="D1087" s="25"/>
      <c r="E1087" s="25"/>
      <c r="F1087" s="27"/>
      <c r="G1087" s="51"/>
    </row>
    <row r="1088" spans="1:7" ht="15" thickBot="1" x14ac:dyDescent="0.25">
      <c r="A1088" s="34"/>
      <c r="B1088" s="25"/>
      <c r="C1088" s="35"/>
      <c r="D1088" s="25"/>
      <c r="E1088" s="25"/>
      <c r="F1088" s="36"/>
      <c r="G1088" s="51"/>
    </row>
    <row r="1089" spans="1:7" ht="15" thickBot="1" x14ac:dyDescent="0.25">
      <c r="A1089" s="43" t="s">
        <v>332</v>
      </c>
      <c r="B1089" s="43"/>
      <c r="C1089" s="43"/>
      <c r="D1089" s="43"/>
      <c r="E1089" s="43"/>
      <c r="F1089" s="43"/>
      <c r="G1089" s="51"/>
    </row>
    <row r="1090" spans="1:7" x14ac:dyDescent="0.2">
      <c r="A1090" s="1" t="s">
        <v>1</v>
      </c>
      <c r="B1090" s="44" t="s">
        <v>299</v>
      </c>
      <c r="C1090" s="45"/>
      <c r="D1090" s="45"/>
      <c r="E1090" s="45"/>
      <c r="F1090" s="46"/>
      <c r="G1090" s="51"/>
    </row>
    <row r="1091" spans="1:7" ht="15" thickBot="1" x14ac:dyDescent="0.25">
      <c r="A1091" s="2" t="s">
        <v>3</v>
      </c>
      <c r="B1091" s="40" t="s">
        <v>300</v>
      </c>
      <c r="C1091" s="41"/>
      <c r="D1091" s="41"/>
      <c r="E1091" s="41"/>
      <c r="F1091" s="42"/>
      <c r="G1091" s="51"/>
    </row>
    <row r="1092" spans="1:7" ht="15" thickBot="1" x14ac:dyDescent="0.25">
      <c r="A1092" s="19" t="s">
        <v>5</v>
      </c>
      <c r="B1092" s="20" t="s">
        <v>6</v>
      </c>
      <c r="C1092" s="21" t="s">
        <v>7</v>
      </c>
      <c r="D1092" s="21" t="s">
        <v>8</v>
      </c>
      <c r="E1092" s="22" t="s">
        <v>9</v>
      </c>
      <c r="F1092" s="23" t="s">
        <v>10</v>
      </c>
      <c r="G1092" s="51"/>
    </row>
    <row r="1093" spans="1:7" x14ac:dyDescent="0.2">
      <c r="A1093" s="14" t="s">
        <v>11</v>
      </c>
      <c r="B1093" s="3">
        <v>0.20628932824684387</v>
      </c>
      <c r="C1093" s="4">
        <v>0.19</v>
      </c>
      <c r="D1093" s="5" t="s">
        <v>12</v>
      </c>
      <c r="E1093" s="6" t="s">
        <v>44</v>
      </c>
      <c r="F1093" s="17" t="s">
        <v>296</v>
      </c>
      <c r="G1093" s="51"/>
    </row>
    <row r="1094" spans="1:7" x14ac:dyDescent="0.2">
      <c r="A1094" s="15" t="s">
        <v>15</v>
      </c>
      <c r="B1094" s="3">
        <v>0.35020890769903912</v>
      </c>
      <c r="C1094" s="4">
        <v>0.33</v>
      </c>
      <c r="D1094" s="7" t="s">
        <v>16</v>
      </c>
      <c r="E1094" s="6" t="s">
        <v>297</v>
      </c>
      <c r="F1094" s="17" t="s">
        <v>18</v>
      </c>
      <c r="G1094" s="51"/>
    </row>
    <row r="1095" spans="1:7" x14ac:dyDescent="0.2">
      <c r="A1095" s="15" t="s">
        <v>19</v>
      </c>
      <c r="B1095" s="3">
        <v>5.7052005133532771E-3</v>
      </c>
      <c r="C1095" s="4">
        <v>0</v>
      </c>
      <c r="D1095" s="7" t="s">
        <v>16</v>
      </c>
      <c r="E1095" s="6" t="s">
        <v>23</v>
      </c>
      <c r="F1095" s="17">
        <v>0</v>
      </c>
      <c r="G1095" s="51"/>
    </row>
    <row r="1096" spans="1:7" x14ac:dyDescent="0.2">
      <c r="A1096" s="15" t="s">
        <v>24</v>
      </c>
      <c r="B1096" s="3">
        <v>0.41428487829569038</v>
      </c>
      <c r="C1096" s="4">
        <v>0.42</v>
      </c>
      <c r="D1096" s="7" t="s">
        <v>12</v>
      </c>
      <c r="E1096" s="6" t="s">
        <v>298</v>
      </c>
      <c r="F1096" s="17" t="s">
        <v>196</v>
      </c>
      <c r="G1096" s="51"/>
    </row>
    <row r="1097" spans="1:7" x14ac:dyDescent="0.2">
      <c r="A1097" s="15" t="s">
        <v>42</v>
      </c>
      <c r="B1097" s="9">
        <f>SUBTOTAL(109,B1093:B1096)</f>
        <v>0.9764883147549267</v>
      </c>
      <c r="C1097" s="10">
        <f>SUBTOTAL(109,C1093:C1096)</f>
        <v>0.94</v>
      </c>
      <c r="D1097" s="7"/>
      <c r="E1097" s="11"/>
      <c r="F1097" s="18"/>
      <c r="G1097" s="51"/>
    </row>
    <row r="1098" spans="1:7" ht="15" thickBot="1" x14ac:dyDescent="0.25">
      <c r="A1098" s="16" t="s">
        <v>43</v>
      </c>
      <c r="B1098" s="3">
        <v>5.3265666457369527E-2</v>
      </c>
      <c r="C1098" s="4">
        <v>0.06</v>
      </c>
      <c r="D1098" s="13" t="s">
        <v>12</v>
      </c>
      <c r="E1098" s="6" t="s">
        <v>64</v>
      </c>
      <c r="F1098" s="17" t="s">
        <v>45</v>
      </c>
      <c r="G1098" s="51"/>
    </row>
    <row r="1099" spans="1:7" ht="26.25" thickBot="1" x14ac:dyDescent="0.25">
      <c r="A1099" s="24" t="s">
        <v>46</v>
      </c>
      <c r="B1099" s="25"/>
      <c r="C1099" s="26">
        <v>8.0000000000000004E-4</v>
      </c>
      <c r="D1099" s="25"/>
      <c r="E1099" s="25"/>
      <c r="F1099" s="27"/>
      <c r="G1099" s="51"/>
    </row>
    <row r="1100" spans="1:7" ht="15" thickBot="1" x14ac:dyDescent="0.25">
      <c r="A1100" s="43" t="s">
        <v>332</v>
      </c>
      <c r="B1100" s="43"/>
      <c r="C1100" s="43"/>
      <c r="D1100" s="43"/>
      <c r="E1100" s="43"/>
      <c r="F1100" s="43"/>
      <c r="G1100" s="51"/>
    </row>
    <row r="1101" spans="1:7" x14ac:dyDescent="0.2">
      <c r="A1101" s="1" t="s">
        <v>1</v>
      </c>
      <c r="B1101" s="44" t="s">
        <v>301</v>
      </c>
      <c r="C1101" s="45"/>
      <c r="D1101" s="45"/>
      <c r="E1101" s="45"/>
      <c r="F1101" s="46"/>
      <c r="G1101" s="51"/>
    </row>
    <row r="1102" spans="1:7" ht="15" thickBot="1" x14ac:dyDescent="0.25">
      <c r="A1102" s="2" t="s">
        <v>3</v>
      </c>
      <c r="B1102" s="40" t="s">
        <v>302</v>
      </c>
      <c r="C1102" s="41"/>
      <c r="D1102" s="41"/>
      <c r="E1102" s="41"/>
      <c r="F1102" s="42"/>
      <c r="G1102" s="51"/>
    </row>
    <row r="1103" spans="1:7" ht="15" thickBot="1" x14ac:dyDescent="0.25">
      <c r="A1103" s="19" t="s">
        <v>5</v>
      </c>
      <c r="B1103" s="20" t="s">
        <v>6</v>
      </c>
      <c r="C1103" s="21" t="s">
        <v>7</v>
      </c>
      <c r="D1103" s="21" t="s">
        <v>8</v>
      </c>
      <c r="E1103" s="22" t="s">
        <v>9</v>
      </c>
      <c r="F1103" s="23" t="s">
        <v>10</v>
      </c>
      <c r="G1103" s="51"/>
    </row>
    <row r="1104" spans="1:7" ht="25.5" x14ac:dyDescent="0.2">
      <c r="A1104" s="14" t="s">
        <v>11</v>
      </c>
      <c r="B1104" s="3">
        <v>0.14957849995293104</v>
      </c>
      <c r="C1104" s="4">
        <v>0.19</v>
      </c>
      <c r="D1104" s="5" t="s">
        <v>12</v>
      </c>
      <c r="E1104" s="6" t="s">
        <v>44</v>
      </c>
      <c r="F1104" s="17" t="s">
        <v>14</v>
      </c>
      <c r="G1104" s="51"/>
    </row>
    <row r="1105" spans="1:7" x14ac:dyDescent="0.2">
      <c r="A1105" s="15" t="s">
        <v>15</v>
      </c>
      <c r="B1105" s="3">
        <v>3.1964393578360305E-2</v>
      </c>
      <c r="C1105" s="4">
        <v>0.05</v>
      </c>
      <c r="D1105" s="7" t="s">
        <v>16</v>
      </c>
      <c r="E1105" s="6" t="s">
        <v>40</v>
      </c>
      <c r="F1105" s="17" t="s">
        <v>18</v>
      </c>
      <c r="G1105" s="51"/>
    </row>
    <row r="1106" spans="1:7" x14ac:dyDescent="0.2">
      <c r="A1106" s="15" t="s">
        <v>19</v>
      </c>
      <c r="B1106" s="3">
        <v>1.747262247445857E-2</v>
      </c>
      <c r="C1106" s="4">
        <v>0.03</v>
      </c>
      <c r="D1106" s="7" t="s">
        <v>16</v>
      </c>
      <c r="E1106" s="6" t="s">
        <v>20</v>
      </c>
      <c r="F1106" s="17" t="s">
        <v>21</v>
      </c>
      <c r="G1106" s="51"/>
    </row>
    <row r="1107" spans="1:7" x14ac:dyDescent="0.2">
      <c r="A1107" s="15" t="s">
        <v>22</v>
      </c>
      <c r="B1107" s="3">
        <v>0.60260404720911209</v>
      </c>
      <c r="C1107" s="4">
        <v>0.6</v>
      </c>
      <c r="D1107" s="7" t="s">
        <v>16</v>
      </c>
      <c r="E1107" s="6" t="s">
        <v>303</v>
      </c>
      <c r="F1107" s="17" t="s">
        <v>79</v>
      </c>
      <c r="G1107" s="51"/>
    </row>
    <row r="1108" spans="1:7" ht="38.25" x14ac:dyDescent="0.2">
      <c r="A1108" s="15" t="s">
        <v>24</v>
      </c>
      <c r="B1108" s="3">
        <v>0.12218575215097618</v>
      </c>
      <c r="C1108" s="4">
        <v>0.13</v>
      </c>
      <c r="D1108" s="7" t="s">
        <v>12</v>
      </c>
      <c r="E1108" s="6" t="s">
        <v>155</v>
      </c>
      <c r="F1108" s="17" t="s">
        <v>26</v>
      </c>
      <c r="G1108" s="51"/>
    </row>
    <row r="1109" spans="1:7" x14ac:dyDescent="0.2">
      <c r="A1109" s="15" t="s">
        <v>27</v>
      </c>
      <c r="B1109" s="3">
        <v>3.9227303663451181E-2</v>
      </c>
      <c r="C1109" s="4">
        <v>0.04</v>
      </c>
      <c r="D1109" s="7" t="s">
        <v>12</v>
      </c>
      <c r="E1109" s="6" t="s">
        <v>40</v>
      </c>
      <c r="F1109" s="17" t="s">
        <v>29</v>
      </c>
      <c r="G1109" s="51"/>
    </row>
    <row r="1110" spans="1:7" x14ac:dyDescent="0.2">
      <c r="A1110" s="15" t="s">
        <v>33</v>
      </c>
      <c r="B1110" s="3">
        <v>1.7138595401202095E-2</v>
      </c>
      <c r="C1110" s="4">
        <v>0.02</v>
      </c>
      <c r="D1110" s="7" t="s">
        <v>16</v>
      </c>
      <c r="E1110" s="6" t="s">
        <v>89</v>
      </c>
      <c r="F1110" s="17" t="s">
        <v>34</v>
      </c>
      <c r="G1110" s="51"/>
    </row>
    <row r="1111" spans="1:7" x14ac:dyDescent="0.2">
      <c r="A1111" s="15" t="s">
        <v>35</v>
      </c>
      <c r="B1111" s="3">
        <v>2.3049056926299855E-2</v>
      </c>
      <c r="C1111" s="4">
        <v>0.03</v>
      </c>
      <c r="D1111" s="7" t="s">
        <v>16</v>
      </c>
      <c r="E1111" s="6" t="s">
        <v>50</v>
      </c>
      <c r="F1111" s="17" t="s">
        <v>36</v>
      </c>
      <c r="G1111" s="51"/>
    </row>
    <row r="1112" spans="1:7" x14ac:dyDescent="0.2">
      <c r="A1112" s="15" t="s">
        <v>37</v>
      </c>
      <c r="B1112" s="3">
        <v>1.0125277868142112E-2</v>
      </c>
      <c r="C1112" s="4">
        <v>0.01</v>
      </c>
      <c r="D1112" s="7" t="s">
        <v>16</v>
      </c>
      <c r="E1112" s="6" t="s">
        <v>56</v>
      </c>
      <c r="F1112" s="17" t="s">
        <v>38</v>
      </c>
      <c r="G1112" s="51"/>
    </row>
    <row r="1113" spans="1:7" x14ac:dyDescent="0.2">
      <c r="A1113" s="15" t="s">
        <v>42</v>
      </c>
      <c r="B1113" s="9">
        <f>SUBTOTAL(109,B1104:B1112)</f>
        <v>1.0133455492249335</v>
      </c>
      <c r="C1113" s="10">
        <f>SUBTOTAL(109,C1104:C1112)</f>
        <v>1.1000000000000001</v>
      </c>
      <c r="D1113" s="7"/>
      <c r="E1113" s="11"/>
      <c r="F1113" s="18"/>
      <c r="G1113" s="51"/>
    </row>
    <row r="1114" spans="1:7" ht="15" thickBot="1" x14ac:dyDescent="0.25">
      <c r="A1114" s="16" t="s">
        <v>43</v>
      </c>
      <c r="B1114" s="3">
        <v>0.10674224489110136</v>
      </c>
      <c r="C1114" s="4">
        <v>0.14000000000000001</v>
      </c>
      <c r="D1114" s="13" t="s">
        <v>12</v>
      </c>
      <c r="E1114" s="6" t="s">
        <v>80</v>
      </c>
      <c r="F1114" s="17" t="s">
        <v>45</v>
      </c>
      <c r="G1114" s="51"/>
    </row>
    <row r="1115" spans="1:7" ht="26.25" thickBot="1" x14ac:dyDescent="0.25">
      <c r="A1115" s="24" t="s">
        <v>46</v>
      </c>
      <c r="B1115" s="25"/>
      <c r="C1115" s="26">
        <v>2E-3</v>
      </c>
      <c r="D1115" s="25"/>
      <c r="E1115" s="25"/>
      <c r="F1115" s="27"/>
      <c r="G1115" s="51"/>
    </row>
    <row r="1116" spans="1:7" ht="15" thickBot="1" x14ac:dyDescent="0.25">
      <c r="A1116" s="43" t="s">
        <v>332</v>
      </c>
      <c r="B1116" s="43"/>
      <c r="C1116" s="43"/>
      <c r="D1116" s="43"/>
      <c r="E1116" s="43"/>
      <c r="F1116" s="43"/>
      <c r="G1116" s="51"/>
    </row>
    <row r="1117" spans="1:7" x14ac:dyDescent="0.2">
      <c r="A1117" s="1" t="s">
        <v>1</v>
      </c>
      <c r="B1117" s="44" t="s">
        <v>304</v>
      </c>
      <c r="C1117" s="45"/>
      <c r="D1117" s="45"/>
      <c r="E1117" s="45"/>
      <c r="F1117" s="46"/>
      <c r="G1117" s="51"/>
    </row>
    <row r="1118" spans="1:7" ht="15" thickBot="1" x14ac:dyDescent="0.25">
      <c r="A1118" s="2" t="s">
        <v>3</v>
      </c>
      <c r="B1118" s="40" t="s">
        <v>305</v>
      </c>
      <c r="C1118" s="41"/>
      <c r="D1118" s="41"/>
      <c r="E1118" s="41"/>
      <c r="F1118" s="42"/>
      <c r="G1118" s="51"/>
    </row>
    <row r="1119" spans="1:7" ht="15" thickBot="1" x14ac:dyDescent="0.25">
      <c r="A1119" s="19" t="s">
        <v>5</v>
      </c>
      <c r="B1119" s="20" t="s">
        <v>6</v>
      </c>
      <c r="C1119" s="21" t="s">
        <v>7</v>
      </c>
      <c r="D1119" s="21" t="s">
        <v>8</v>
      </c>
      <c r="E1119" s="22" t="s">
        <v>9</v>
      </c>
      <c r="F1119" s="23" t="s">
        <v>10</v>
      </c>
      <c r="G1119" s="51"/>
    </row>
    <row r="1120" spans="1:7" x14ac:dyDescent="0.2">
      <c r="A1120" s="14" t="s">
        <v>11</v>
      </c>
      <c r="B1120" s="3">
        <v>0</v>
      </c>
      <c r="C1120" s="4">
        <v>0</v>
      </c>
      <c r="D1120" s="5" t="s">
        <v>12</v>
      </c>
      <c r="E1120" s="6" t="s">
        <v>56</v>
      </c>
      <c r="F1120" s="17">
        <v>0</v>
      </c>
      <c r="G1120" s="51"/>
    </row>
    <row r="1121" spans="1:7" x14ac:dyDescent="0.2">
      <c r="A1121" s="15" t="s">
        <v>15</v>
      </c>
      <c r="B1121" s="3">
        <v>0.27675503196110701</v>
      </c>
      <c r="C1121" s="4">
        <v>0.28999999999999998</v>
      </c>
      <c r="D1121" s="7" t="s">
        <v>16</v>
      </c>
      <c r="E1121" s="6" t="s">
        <v>306</v>
      </c>
      <c r="F1121" s="17" t="s">
        <v>18</v>
      </c>
      <c r="G1121" s="51"/>
    </row>
    <row r="1122" spans="1:7" x14ac:dyDescent="0.2">
      <c r="A1122" s="15" t="s">
        <v>22</v>
      </c>
      <c r="B1122" s="3">
        <v>0.59985494213708745</v>
      </c>
      <c r="C1122" s="4">
        <v>0.6</v>
      </c>
      <c r="D1122" s="7" t="s">
        <v>16</v>
      </c>
      <c r="E1122" s="6" t="s">
        <v>303</v>
      </c>
      <c r="F1122" s="17" t="s">
        <v>79</v>
      </c>
      <c r="G1122" s="51"/>
    </row>
    <row r="1123" spans="1:7" ht="38.25" x14ac:dyDescent="0.2">
      <c r="A1123" s="15" t="s">
        <v>24</v>
      </c>
      <c r="B1123" s="3">
        <v>5.3426626685061651E-2</v>
      </c>
      <c r="C1123" s="4">
        <v>0.05</v>
      </c>
      <c r="D1123" s="7" t="s">
        <v>12</v>
      </c>
      <c r="E1123" s="6" t="s">
        <v>88</v>
      </c>
      <c r="F1123" s="17" t="s">
        <v>26</v>
      </c>
      <c r="G1123" s="51"/>
    </row>
    <row r="1124" spans="1:7" x14ac:dyDescent="0.2">
      <c r="A1124" s="15" t="s">
        <v>27</v>
      </c>
      <c r="B1124" s="3">
        <v>1.4278301883546412E-2</v>
      </c>
      <c r="C1124" s="4">
        <v>0.02</v>
      </c>
      <c r="D1124" s="7" t="s">
        <v>12</v>
      </c>
      <c r="E1124" s="6" t="s">
        <v>50</v>
      </c>
      <c r="F1124" s="17" t="s">
        <v>29</v>
      </c>
      <c r="G1124" s="51"/>
    </row>
    <row r="1125" spans="1:7" x14ac:dyDescent="0.2">
      <c r="A1125" s="15" t="s">
        <v>42</v>
      </c>
      <c r="B1125" s="9">
        <f>SUBTOTAL(109,B1120:B1124)</f>
        <v>0.94431490266680251</v>
      </c>
      <c r="C1125" s="10">
        <f>SUBTOTAL(109,C1120:C1124)</f>
        <v>0.96</v>
      </c>
      <c r="D1125" s="7"/>
      <c r="E1125" s="11"/>
      <c r="F1125" s="18"/>
      <c r="G1125" s="51"/>
    </row>
    <row r="1126" spans="1:7" ht="15" thickBot="1" x14ac:dyDescent="0.25">
      <c r="A1126" s="16" t="s">
        <v>43</v>
      </c>
      <c r="B1126" s="3">
        <v>3.7100075145305826E-3</v>
      </c>
      <c r="C1126" s="4">
        <v>0.03</v>
      </c>
      <c r="D1126" s="13" t="s">
        <v>12</v>
      </c>
      <c r="E1126" s="6" t="s">
        <v>31</v>
      </c>
      <c r="F1126" s="17" t="s">
        <v>45</v>
      </c>
      <c r="G1126" s="51"/>
    </row>
    <row r="1127" spans="1:7" ht="26.25" thickBot="1" x14ac:dyDescent="0.25">
      <c r="A1127" s="24" t="s">
        <v>46</v>
      </c>
      <c r="B1127" s="25"/>
      <c r="C1127" s="26">
        <v>1E-3</v>
      </c>
      <c r="D1127" s="25"/>
      <c r="E1127" s="25"/>
      <c r="F1127" s="27"/>
      <c r="G1127" s="51"/>
    </row>
    <row r="1128" spans="1:7" ht="15" thickBot="1" x14ac:dyDescent="0.25">
      <c r="A1128" s="43" t="s">
        <v>332</v>
      </c>
      <c r="B1128" s="43"/>
      <c r="C1128" s="43"/>
      <c r="D1128" s="43"/>
      <c r="E1128" s="43"/>
      <c r="F1128" s="43"/>
      <c r="G1128" s="51"/>
    </row>
    <row r="1129" spans="1:7" x14ac:dyDescent="0.2">
      <c r="A1129" s="1" t="s">
        <v>1</v>
      </c>
      <c r="B1129" s="44" t="s">
        <v>307</v>
      </c>
      <c r="C1129" s="45"/>
      <c r="D1129" s="45"/>
      <c r="E1129" s="45"/>
      <c r="F1129" s="46"/>
      <c r="G1129" s="51"/>
    </row>
    <row r="1130" spans="1:7" ht="15" thickBot="1" x14ac:dyDescent="0.25">
      <c r="A1130" s="2" t="s">
        <v>3</v>
      </c>
      <c r="B1130" s="40" t="s">
        <v>308</v>
      </c>
      <c r="C1130" s="41"/>
      <c r="D1130" s="41"/>
      <c r="E1130" s="41"/>
      <c r="F1130" s="42"/>
      <c r="G1130" s="51"/>
    </row>
    <row r="1131" spans="1:7" ht="15" thickBot="1" x14ac:dyDescent="0.25">
      <c r="A1131" s="19" t="s">
        <v>5</v>
      </c>
      <c r="B1131" s="20" t="s">
        <v>6</v>
      </c>
      <c r="C1131" s="21" t="s">
        <v>7</v>
      </c>
      <c r="D1131" s="21" t="s">
        <v>8</v>
      </c>
      <c r="E1131" s="22" t="s">
        <v>9</v>
      </c>
      <c r="F1131" s="23" t="s">
        <v>10</v>
      </c>
      <c r="G1131" s="51"/>
    </row>
    <row r="1132" spans="1:7" x14ac:dyDescent="0.2">
      <c r="A1132" s="14" t="s">
        <v>11</v>
      </c>
      <c r="B1132" s="3">
        <v>0</v>
      </c>
      <c r="C1132" s="4">
        <v>0</v>
      </c>
      <c r="D1132" s="5" t="s">
        <v>12</v>
      </c>
      <c r="E1132" s="6" t="s">
        <v>56</v>
      </c>
      <c r="F1132" s="17">
        <v>0</v>
      </c>
      <c r="G1132" s="51"/>
    </row>
    <row r="1133" spans="1:7" x14ac:dyDescent="0.2">
      <c r="A1133" s="15" t="s">
        <v>15</v>
      </c>
      <c r="B1133" s="3">
        <v>0.91744544821831731</v>
      </c>
      <c r="C1133" s="4">
        <v>0.92</v>
      </c>
      <c r="D1133" s="7" t="s">
        <v>16</v>
      </c>
      <c r="E1133" s="6" t="s">
        <v>199</v>
      </c>
      <c r="F1133" s="17" t="s">
        <v>18</v>
      </c>
      <c r="G1133" s="51"/>
    </row>
    <row r="1134" spans="1:7" ht="38.25" x14ac:dyDescent="0.2">
      <c r="A1134" s="15" t="s">
        <v>24</v>
      </c>
      <c r="B1134" s="3">
        <v>3.2408486066967447E-3</v>
      </c>
      <c r="C1134" s="4">
        <v>0.05</v>
      </c>
      <c r="D1134" s="7" t="s">
        <v>12</v>
      </c>
      <c r="E1134" s="6" t="s">
        <v>88</v>
      </c>
      <c r="F1134" s="17" t="s">
        <v>26</v>
      </c>
      <c r="G1134" s="51"/>
    </row>
    <row r="1135" spans="1:7" x14ac:dyDescent="0.2">
      <c r="A1135" s="15" t="s">
        <v>27</v>
      </c>
      <c r="B1135" s="3">
        <v>1.9286480163225476E-2</v>
      </c>
      <c r="C1135" s="4">
        <v>0.02</v>
      </c>
      <c r="D1135" s="7" t="s">
        <v>12</v>
      </c>
      <c r="E1135" s="6" t="s">
        <v>50</v>
      </c>
      <c r="F1135" s="17" t="s">
        <v>29</v>
      </c>
      <c r="G1135" s="51"/>
    </row>
    <row r="1136" spans="1:7" x14ac:dyDescent="0.2">
      <c r="A1136" s="15" t="s">
        <v>42</v>
      </c>
      <c r="B1136" s="9">
        <f>SUBTOTAL(109,B1132:B1135)</f>
        <v>0.93997277698823944</v>
      </c>
      <c r="C1136" s="10">
        <f>SUBTOTAL(109,C1132:C1135)</f>
        <v>0.9900000000000001</v>
      </c>
      <c r="D1136" s="7"/>
      <c r="E1136" s="11"/>
      <c r="F1136" s="18"/>
      <c r="G1136" s="51"/>
    </row>
    <row r="1137" spans="1:7" ht="15" thickBot="1" x14ac:dyDescent="0.25">
      <c r="A1137" s="16" t="s">
        <v>43</v>
      </c>
      <c r="B1137" s="3">
        <v>3.3008665048412746E-3</v>
      </c>
      <c r="C1137" s="4">
        <v>0.03</v>
      </c>
      <c r="D1137" s="13" t="s">
        <v>12</v>
      </c>
      <c r="E1137" s="6" t="s">
        <v>31</v>
      </c>
      <c r="F1137" s="17" t="s">
        <v>45</v>
      </c>
      <c r="G1137" s="51"/>
    </row>
    <row r="1138" spans="1:7" ht="26.25" thickBot="1" x14ac:dyDescent="0.25">
      <c r="A1138" s="24" t="s">
        <v>46</v>
      </c>
      <c r="B1138" s="25"/>
      <c r="C1138" s="26">
        <v>1E-3</v>
      </c>
      <c r="D1138" s="25"/>
      <c r="E1138" s="25"/>
      <c r="F1138" s="27"/>
      <c r="G1138" s="51"/>
    </row>
    <row r="1139" spans="1:7" ht="15" thickBot="1" x14ac:dyDescent="0.25">
      <c r="A1139" s="43" t="s">
        <v>332</v>
      </c>
      <c r="B1139" s="43"/>
      <c r="C1139" s="43"/>
      <c r="D1139" s="43"/>
      <c r="E1139" s="43"/>
      <c r="F1139" s="43"/>
      <c r="G1139" s="51"/>
    </row>
    <row r="1140" spans="1:7" x14ac:dyDescent="0.2">
      <c r="A1140" s="1" t="s">
        <v>1</v>
      </c>
      <c r="B1140" s="44" t="s">
        <v>309</v>
      </c>
      <c r="C1140" s="45"/>
      <c r="D1140" s="45"/>
      <c r="E1140" s="45"/>
      <c r="F1140" s="46"/>
      <c r="G1140" s="51"/>
    </row>
    <row r="1141" spans="1:7" ht="15" thickBot="1" x14ac:dyDescent="0.25">
      <c r="A1141" s="2" t="s">
        <v>3</v>
      </c>
      <c r="B1141" s="40" t="s">
        <v>310</v>
      </c>
      <c r="C1141" s="41"/>
      <c r="D1141" s="41"/>
      <c r="E1141" s="41"/>
      <c r="F1141" s="42"/>
      <c r="G1141" s="51"/>
    </row>
    <row r="1142" spans="1:7" ht="15" thickBot="1" x14ac:dyDescent="0.25">
      <c r="A1142" s="19" t="s">
        <v>5</v>
      </c>
      <c r="B1142" s="20" t="s">
        <v>6</v>
      </c>
      <c r="C1142" s="21" t="s">
        <v>7</v>
      </c>
      <c r="D1142" s="21" t="s">
        <v>8</v>
      </c>
      <c r="E1142" s="22" t="s">
        <v>9</v>
      </c>
      <c r="F1142" s="23" t="s">
        <v>10</v>
      </c>
      <c r="G1142" s="51"/>
    </row>
    <row r="1143" spans="1:7" ht="25.5" x14ac:dyDescent="0.2">
      <c r="A1143" s="14" t="s">
        <v>11</v>
      </c>
      <c r="B1143" s="3">
        <v>0.32457443162986716</v>
      </c>
      <c r="C1143" s="4">
        <v>0.36</v>
      </c>
      <c r="D1143" s="5" t="s">
        <v>12</v>
      </c>
      <c r="E1143" s="6" t="s">
        <v>139</v>
      </c>
      <c r="F1143" s="17" t="s">
        <v>14</v>
      </c>
      <c r="G1143" s="51"/>
    </row>
    <row r="1144" spans="1:7" x14ac:dyDescent="0.2">
      <c r="A1144" s="15" t="s">
        <v>15</v>
      </c>
      <c r="B1144" s="3">
        <v>0.16713281640794084</v>
      </c>
      <c r="C1144" s="4">
        <v>0.15</v>
      </c>
      <c r="D1144" s="7" t="s">
        <v>16</v>
      </c>
      <c r="E1144" s="6" t="s">
        <v>311</v>
      </c>
      <c r="F1144" s="17" t="s">
        <v>18</v>
      </c>
      <c r="G1144" s="51"/>
    </row>
    <row r="1145" spans="1:7" x14ac:dyDescent="0.2">
      <c r="A1145" s="15" t="s">
        <v>19</v>
      </c>
      <c r="B1145" s="3">
        <v>2.0641135933581342E-2</v>
      </c>
      <c r="C1145" s="4">
        <v>0.03</v>
      </c>
      <c r="D1145" s="7" t="s">
        <v>16</v>
      </c>
      <c r="E1145" s="6" t="s">
        <v>20</v>
      </c>
      <c r="F1145" s="17" t="s">
        <v>21</v>
      </c>
      <c r="G1145" s="51"/>
    </row>
    <row r="1146" spans="1:7" ht="38.25" x14ac:dyDescent="0.2">
      <c r="A1146" s="15" t="s">
        <v>24</v>
      </c>
      <c r="B1146" s="3">
        <v>0.40696734380539118</v>
      </c>
      <c r="C1146" s="4">
        <v>0.45</v>
      </c>
      <c r="D1146" s="7" t="s">
        <v>12</v>
      </c>
      <c r="E1146" s="6" t="s">
        <v>13</v>
      </c>
      <c r="F1146" s="17" t="s">
        <v>26</v>
      </c>
      <c r="G1146" s="51"/>
    </row>
    <row r="1147" spans="1:7" x14ac:dyDescent="0.2">
      <c r="A1147" s="15" t="s">
        <v>27</v>
      </c>
      <c r="B1147" s="3">
        <v>5.762436213710298E-2</v>
      </c>
      <c r="C1147" s="4">
        <v>0.04</v>
      </c>
      <c r="D1147" s="7" t="s">
        <v>12</v>
      </c>
      <c r="E1147" s="6" t="s">
        <v>40</v>
      </c>
      <c r="F1147" s="17" t="s">
        <v>29</v>
      </c>
      <c r="G1147" s="51"/>
    </row>
    <row r="1148" spans="1:7" x14ac:dyDescent="0.2">
      <c r="A1148" s="15" t="s">
        <v>33</v>
      </c>
      <c r="B1148" s="3">
        <v>2.9178394899440865E-2</v>
      </c>
      <c r="C1148" s="4">
        <v>0.02</v>
      </c>
      <c r="D1148" s="7" t="s">
        <v>16</v>
      </c>
      <c r="E1148" s="6" t="s">
        <v>89</v>
      </c>
      <c r="F1148" s="17" t="s">
        <v>34</v>
      </c>
      <c r="G1148" s="51"/>
    </row>
    <row r="1149" spans="1:7" x14ac:dyDescent="0.2">
      <c r="A1149" s="15" t="s">
        <v>35</v>
      </c>
      <c r="B1149" s="3">
        <v>3.0411978134751164E-2</v>
      </c>
      <c r="C1149" s="4">
        <v>0.03</v>
      </c>
      <c r="D1149" s="7" t="s">
        <v>16</v>
      </c>
      <c r="E1149" s="6" t="s">
        <v>50</v>
      </c>
      <c r="F1149" s="17" t="s">
        <v>36</v>
      </c>
      <c r="G1149" s="51"/>
    </row>
    <row r="1150" spans="1:7" x14ac:dyDescent="0.2">
      <c r="A1150" s="15" t="s">
        <v>39</v>
      </c>
      <c r="B1150" s="3">
        <v>1.2585173604001015E-3</v>
      </c>
      <c r="C1150" s="4">
        <v>0</v>
      </c>
      <c r="D1150" s="7" t="s">
        <v>16</v>
      </c>
      <c r="E1150" s="6" t="s">
        <v>23</v>
      </c>
      <c r="F1150" s="17">
        <v>0</v>
      </c>
      <c r="G1150" s="51"/>
    </row>
    <row r="1151" spans="1:7" x14ac:dyDescent="0.2">
      <c r="A1151" s="15" t="s">
        <v>42</v>
      </c>
      <c r="B1151" s="9">
        <f>SUBTOTAL(109,B1143:B1150)</f>
        <v>1.0377889803084757</v>
      </c>
      <c r="C1151" s="10">
        <f>SUBTOTAL(109,C1143:C1150)</f>
        <v>1.08</v>
      </c>
      <c r="D1151" s="7"/>
      <c r="E1151" s="11"/>
      <c r="F1151" s="18"/>
      <c r="G1151" s="51"/>
    </row>
    <row r="1152" spans="1:7" ht="15" thickBot="1" x14ac:dyDescent="0.25">
      <c r="A1152" s="16" t="s">
        <v>43</v>
      </c>
      <c r="B1152" s="3">
        <v>0.17406025281052745</v>
      </c>
      <c r="C1152" s="4">
        <v>0.21</v>
      </c>
      <c r="D1152" s="13" t="s">
        <v>12</v>
      </c>
      <c r="E1152" s="6" t="s">
        <v>60</v>
      </c>
      <c r="F1152" s="17" t="s">
        <v>45</v>
      </c>
      <c r="G1152" s="51"/>
    </row>
    <row r="1153" spans="1:7" ht="26.25" thickBot="1" x14ac:dyDescent="0.25">
      <c r="A1153" s="24" t="s">
        <v>46</v>
      </c>
      <c r="B1153" s="25"/>
      <c r="C1153" s="26">
        <v>2E-3</v>
      </c>
      <c r="D1153" s="25"/>
      <c r="E1153" s="25"/>
      <c r="F1153" s="27"/>
      <c r="G1153" s="51"/>
    </row>
    <row r="1154" spans="1:7" ht="15" thickBot="1" x14ac:dyDescent="0.25">
      <c r="A1154" s="43" t="s">
        <v>332</v>
      </c>
      <c r="B1154" s="43"/>
      <c r="C1154" s="43"/>
      <c r="D1154" s="43"/>
      <c r="E1154" s="43"/>
      <c r="F1154" s="43"/>
      <c r="G1154" s="51"/>
    </row>
    <row r="1155" spans="1:7" x14ac:dyDescent="0.2">
      <c r="A1155" s="1" t="s">
        <v>1</v>
      </c>
      <c r="B1155" s="44" t="s">
        <v>312</v>
      </c>
      <c r="C1155" s="45"/>
      <c r="D1155" s="45"/>
      <c r="E1155" s="45"/>
      <c r="F1155" s="46"/>
      <c r="G1155" s="51"/>
    </row>
    <row r="1156" spans="1:7" ht="15" thickBot="1" x14ac:dyDescent="0.25">
      <c r="A1156" s="2" t="s">
        <v>3</v>
      </c>
      <c r="B1156" s="40" t="s">
        <v>313</v>
      </c>
      <c r="C1156" s="41"/>
      <c r="D1156" s="41"/>
      <c r="E1156" s="41"/>
      <c r="F1156" s="42"/>
      <c r="G1156" s="51"/>
    </row>
    <row r="1157" spans="1:7" ht="15" thickBot="1" x14ac:dyDescent="0.25">
      <c r="A1157" s="19" t="s">
        <v>5</v>
      </c>
      <c r="B1157" s="20" t="s">
        <v>6</v>
      </c>
      <c r="C1157" s="21" t="s">
        <v>7</v>
      </c>
      <c r="D1157" s="21" t="s">
        <v>8</v>
      </c>
      <c r="E1157" s="22" t="s">
        <v>9</v>
      </c>
      <c r="F1157" s="23" t="s">
        <v>10</v>
      </c>
      <c r="G1157" s="51"/>
    </row>
    <row r="1158" spans="1:7" x14ac:dyDescent="0.2">
      <c r="A1158" s="14" t="s">
        <v>11</v>
      </c>
      <c r="B1158" s="3">
        <v>0</v>
      </c>
      <c r="C1158" s="4">
        <v>0</v>
      </c>
      <c r="D1158" s="5" t="s">
        <v>12</v>
      </c>
      <c r="E1158" s="6" t="s">
        <v>56</v>
      </c>
      <c r="F1158" s="17">
        <v>0</v>
      </c>
      <c r="G1158" s="51"/>
    </row>
    <row r="1159" spans="1:7" x14ac:dyDescent="0.2">
      <c r="A1159" s="15" t="s">
        <v>15</v>
      </c>
      <c r="B1159" s="3">
        <v>0.20085713720105838</v>
      </c>
      <c r="C1159" s="4">
        <v>0.25</v>
      </c>
      <c r="D1159" s="7" t="s">
        <v>16</v>
      </c>
      <c r="E1159" s="6" t="s">
        <v>72</v>
      </c>
      <c r="F1159" s="17" t="s">
        <v>18</v>
      </c>
      <c r="G1159" s="51"/>
    </row>
    <row r="1160" spans="1:7" x14ac:dyDescent="0.2">
      <c r="A1160" s="15" t="s">
        <v>19</v>
      </c>
      <c r="B1160" s="3">
        <v>0</v>
      </c>
      <c r="C1160" s="4">
        <v>0.03</v>
      </c>
      <c r="D1160" s="7" t="s">
        <v>16</v>
      </c>
      <c r="E1160" s="6" t="s">
        <v>20</v>
      </c>
      <c r="F1160" s="17" t="s">
        <v>21</v>
      </c>
      <c r="G1160" s="51"/>
    </row>
    <row r="1161" spans="1:7" x14ac:dyDescent="0.2">
      <c r="A1161" s="15" t="s">
        <v>22</v>
      </c>
      <c r="B1161" s="3">
        <v>0.74694716542739437</v>
      </c>
      <c r="C1161" s="4">
        <v>0.7</v>
      </c>
      <c r="D1161" s="7" t="s">
        <v>16</v>
      </c>
      <c r="E1161" s="6" t="s">
        <v>314</v>
      </c>
      <c r="F1161" s="17" t="s">
        <v>79</v>
      </c>
      <c r="G1161" s="51"/>
    </row>
    <row r="1162" spans="1:7" ht="38.25" x14ac:dyDescent="0.2">
      <c r="A1162" s="15" t="s">
        <v>24</v>
      </c>
      <c r="B1162" s="3">
        <v>2.1376052444674045E-3</v>
      </c>
      <c r="C1162" s="4">
        <v>0.02</v>
      </c>
      <c r="D1162" s="7" t="s">
        <v>12</v>
      </c>
      <c r="E1162" s="6" t="s">
        <v>50</v>
      </c>
      <c r="F1162" s="17" t="s">
        <v>26</v>
      </c>
      <c r="G1162" s="51"/>
    </row>
    <row r="1163" spans="1:7" x14ac:dyDescent="0.2">
      <c r="A1163" s="15" t="s">
        <v>27</v>
      </c>
      <c r="B1163" s="3">
        <v>1.3260314854650675E-2</v>
      </c>
      <c r="C1163" s="4">
        <v>0.02</v>
      </c>
      <c r="D1163" s="7" t="s">
        <v>12</v>
      </c>
      <c r="E1163" s="6" t="s">
        <v>50</v>
      </c>
      <c r="F1163" s="17" t="s">
        <v>29</v>
      </c>
      <c r="G1163" s="51"/>
    </row>
    <row r="1164" spans="1:7" x14ac:dyDescent="0.2">
      <c r="A1164" s="15" t="s">
        <v>42</v>
      </c>
      <c r="B1164" s="9">
        <f>SUBTOTAL(109,B1158:B1163)</f>
        <v>0.96320222272757072</v>
      </c>
      <c r="C1164" s="10">
        <f>SUBTOTAL(109,C1158:C1163)</f>
        <v>1.02</v>
      </c>
      <c r="D1164" s="7"/>
      <c r="E1164" s="11"/>
      <c r="F1164" s="18"/>
      <c r="G1164" s="51"/>
    </row>
    <row r="1165" spans="1:7" ht="15" thickBot="1" x14ac:dyDescent="0.25">
      <c r="A1165" s="16" t="s">
        <v>43</v>
      </c>
      <c r="B1165" s="3">
        <v>2.4389379026184526E-3</v>
      </c>
      <c r="C1165" s="4">
        <v>0</v>
      </c>
      <c r="D1165" s="13" t="s">
        <v>12</v>
      </c>
      <c r="E1165" s="6" t="s">
        <v>56</v>
      </c>
      <c r="F1165" s="17" t="s">
        <v>45</v>
      </c>
      <c r="G1165" s="51"/>
    </row>
    <row r="1166" spans="1:7" ht="26.25" thickBot="1" x14ac:dyDescent="0.25">
      <c r="A1166" s="24" t="s">
        <v>46</v>
      </c>
      <c r="B1166" s="25"/>
      <c r="C1166" s="26">
        <v>1E-3</v>
      </c>
      <c r="D1166" s="25"/>
      <c r="E1166" s="25"/>
      <c r="F1166" s="27"/>
      <c r="G1166" s="51"/>
    </row>
    <row r="1167" spans="1:7" ht="15" thickBot="1" x14ac:dyDescent="0.25">
      <c r="A1167" s="43" t="s">
        <v>332</v>
      </c>
      <c r="B1167" s="43"/>
      <c r="C1167" s="43"/>
      <c r="D1167" s="43"/>
      <c r="E1167" s="43"/>
      <c r="F1167" s="43"/>
      <c r="G1167" s="51"/>
    </row>
    <row r="1168" spans="1:7" x14ac:dyDescent="0.2">
      <c r="A1168" s="1" t="s">
        <v>1</v>
      </c>
      <c r="B1168" s="44" t="s">
        <v>315</v>
      </c>
      <c r="C1168" s="45"/>
      <c r="D1168" s="45"/>
      <c r="E1168" s="45"/>
      <c r="F1168" s="46"/>
      <c r="G1168" s="51"/>
    </row>
    <row r="1169" spans="1:7" ht="15" thickBot="1" x14ac:dyDescent="0.25">
      <c r="A1169" s="2" t="s">
        <v>3</v>
      </c>
      <c r="B1169" s="40" t="s">
        <v>316</v>
      </c>
      <c r="C1169" s="41"/>
      <c r="D1169" s="41"/>
      <c r="E1169" s="41"/>
      <c r="F1169" s="42"/>
      <c r="G1169" s="51"/>
    </row>
    <row r="1170" spans="1:7" ht="15" thickBot="1" x14ac:dyDescent="0.25">
      <c r="A1170" s="19" t="s">
        <v>5</v>
      </c>
      <c r="B1170" s="20" t="s">
        <v>6</v>
      </c>
      <c r="C1170" s="21" t="s">
        <v>7</v>
      </c>
      <c r="D1170" s="21" t="s">
        <v>8</v>
      </c>
      <c r="E1170" s="22" t="s">
        <v>9</v>
      </c>
      <c r="F1170" s="23" t="s">
        <v>10</v>
      </c>
      <c r="G1170" s="51"/>
    </row>
    <row r="1171" spans="1:7" ht="25.5" x14ac:dyDescent="0.2">
      <c r="A1171" s="14" t="s">
        <v>11</v>
      </c>
      <c r="B1171" s="3">
        <v>0.23257772552390449</v>
      </c>
      <c r="C1171" s="4">
        <v>0.25</v>
      </c>
      <c r="D1171" s="5" t="s">
        <v>12</v>
      </c>
      <c r="E1171" s="6" t="s">
        <v>96</v>
      </c>
      <c r="F1171" s="17" t="s">
        <v>14</v>
      </c>
      <c r="G1171" s="51"/>
    </row>
    <row r="1172" spans="1:7" x14ac:dyDescent="0.2">
      <c r="A1172" s="15" t="s">
        <v>15</v>
      </c>
      <c r="B1172" s="3">
        <v>0.28665233814854646</v>
      </c>
      <c r="C1172" s="4">
        <v>0.25</v>
      </c>
      <c r="D1172" s="7" t="s">
        <v>16</v>
      </c>
      <c r="E1172" s="6" t="s">
        <v>72</v>
      </c>
      <c r="F1172" s="17" t="s">
        <v>18</v>
      </c>
      <c r="G1172" s="51"/>
    </row>
    <row r="1173" spans="1:7" x14ac:dyDescent="0.2">
      <c r="A1173" s="15" t="s">
        <v>19</v>
      </c>
      <c r="B1173" s="3">
        <v>5.3229620925119112E-2</v>
      </c>
      <c r="C1173" s="4">
        <v>0.05</v>
      </c>
      <c r="D1173" s="7" t="s">
        <v>16</v>
      </c>
      <c r="E1173" s="6" t="s">
        <v>40</v>
      </c>
      <c r="F1173" s="17" t="s">
        <v>21</v>
      </c>
      <c r="G1173" s="51"/>
    </row>
    <row r="1174" spans="1:7" x14ac:dyDescent="0.2">
      <c r="A1174" s="15" t="s">
        <v>22</v>
      </c>
      <c r="B1174" s="3">
        <v>0.5554283324992475</v>
      </c>
      <c r="C1174" s="4">
        <v>0.6</v>
      </c>
      <c r="D1174" s="7" t="s">
        <v>16</v>
      </c>
      <c r="E1174" s="6" t="s">
        <v>303</v>
      </c>
      <c r="F1174" s="17" t="s">
        <v>79</v>
      </c>
      <c r="G1174" s="51"/>
    </row>
    <row r="1175" spans="1:7" x14ac:dyDescent="0.2">
      <c r="A1175" s="15" t="s">
        <v>24</v>
      </c>
      <c r="B1175" s="3">
        <v>0</v>
      </c>
      <c r="C1175" s="4">
        <v>0</v>
      </c>
      <c r="D1175" s="7" t="s">
        <v>12</v>
      </c>
      <c r="E1175" s="6" t="s">
        <v>56</v>
      </c>
      <c r="F1175" s="17">
        <v>0</v>
      </c>
      <c r="G1175" s="51"/>
    </row>
    <row r="1176" spans="1:7" x14ac:dyDescent="0.2">
      <c r="A1176" s="15" t="s">
        <v>42</v>
      </c>
      <c r="B1176" s="9">
        <f>SUBTOTAL(109,B1171:B1175)</f>
        <v>1.1278880170968175</v>
      </c>
      <c r="C1176" s="10">
        <f>SUBTOTAL(109,C1171:C1175)</f>
        <v>1.1499999999999999</v>
      </c>
      <c r="D1176" s="7"/>
      <c r="E1176" s="11"/>
      <c r="F1176" s="18"/>
      <c r="G1176" s="51"/>
    </row>
    <row r="1177" spans="1:7" ht="15" thickBot="1" x14ac:dyDescent="0.25">
      <c r="A1177" s="16" t="s">
        <v>43</v>
      </c>
      <c r="B1177" s="3">
        <v>5.0186933882690819E-2</v>
      </c>
      <c r="C1177" s="4">
        <v>0.1</v>
      </c>
      <c r="D1177" s="13" t="s">
        <v>12</v>
      </c>
      <c r="E1177" s="6" t="s">
        <v>154</v>
      </c>
      <c r="F1177" s="17" t="s">
        <v>45</v>
      </c>
      <c r="G1177" s="51"/>
    </row>
    <row r="1178" spans="1:7" ht="26.25" thickBot="1" x14ac:dyDescent="0.25">
      <c r="A1178" s="24" t="s">
        <v>46</v>
      </c>
      <c r="B1178" s="25"/>
      <c r="C1178" s="26">
        <v>2.9999999999999997E-4</v>
      </c>
      <c r="D1178" s="25"/>
      <c r="E1178" s="25"/>
      <c r="F1178" s="27"/>
      <c r="G1178" s="51"/>
    </row>
    <row r="1179" spans="1:7" ht="15" thickBot="1" x14ac:dyDescent="0.25">
      <c r="A1179" s="43" t="s">
        <v>332</v>
      </c>
      <c r="B1179" s="43"/>
      <c r="C1179" s="43"/>
      <c r="D1179" s="43"/>
      <c r="E1179" s="43"/>
      <c r="F1179" s="43"/>
      <c r="G1179" s="51"/>
    </row>
    <row r="1180" spans="1:7" x14ac:dyDescent="0.2">
      <c r="A1180" s="1" t="s">
        <v>1</v>
      </c>
      <c r="B1180" s="44" t="s">
        <v>317</v>
      </c>
      <c r="C1180" s="45"/>
      <c r="D1180" s="45"/>
      <c r="E1180" s="45"/>
      <c r="F1180" s="46"/>
      <c r="G1180" s="51"/>
    </row>
    <row r="1181" spans="1:7" ht="15" thickBot="1" x14ac:dyDescent="0.25">
      <c r="A1181" s="2" t="s">
        <v>3</v>
      </c>
      <c r="B1181" s="40" t="s">
        <v>318</v>
      </c>
      <c r="C1181" s="41"/>
      <c r="D1181" s="41"/>
      <c r="E1181" s="41"/>
      <c r="F1181" s="42"/>
      <c r="G1181" s="51"/>
    </row>
    <row r="1182" spans="1:7" ht="15" thickBot="1" x14ac:dyDescent="0.25">
      <c r="A1182" s="19" t="s">
        <v>5</v>
      </c>
      <c r="B1182" s="20" t="s">
        <v>6</v>
      </c>
      <c r="C1182" s="21" t="s">
        <v>7</v>
      </c>
      <c r="D1182" s="21" t="s">
        <v>8</v>
      </c>
      <c r="E1182" s="22" t="s">
        <v>9</v>
      </c>
      <c r="F1182" s="23" t="s">
        <v>10</v>
      </c>
      <c r="G1182" s="51"/>
    </row>
    <row r="1183" spans="1:7" ht="25.5" x14ac:dyDescent="0.2">
      <c r="A1183" s="14" t="s">
        <v>11</v>
      </c>
      <c r="B1183" s="3">
        <v>0.40034650425176099</v>
      </c>
      <c r="C1183" s="4">
        <v>0.36</v>
      </c>
      <c r="D1183" s="5" t="s">
        <v>12</v>
      </c>
      <c r="E1183" s="6" t="s">
        <v>139</v>
      </c>
      <c r="F1183" s="17" t="s">
        <v>14</v>
      </c>
      <c r="G1183" s="51"/>
    </row>
    <row r="1184" spans="1:7" x14ac:dyDescent="0.2">
      <c r="A1184" s="15" t="s">
        <v>15</v>
      </c>
      <c r="B1184" s="3">
        <v>0.89878598404267596</v>
      </c>
      <c r="C1184" s="4">
        <v>0.92</v>
      </c>
      <c r="D1184" s="7" t="s">
        <v>16</v>
      </c>
      <c r="E1184" s="6" t="s">
        <v>199</v>
      </c>
      <c r="F1184" s="17" t="s">
        <v>18</v>
      </c>
      <c r="G1184" s="51"/>
    </row>
    <row r="1185" spans="1:7" x14ac:dyDescent="0.2">
      <c r="A1185" s="15" t="s">
        <v>19</v>
      </c>
      <c r="B1185" s="3">
        <v>0</v>
      </c>
      <c r="C1185" s="4">
        <v>0.04</v>
      </c>
      <c r="D1185" s="7" t="s">
        <v>16</v>
      </c>
      <c r="E1185" s="6" t="s">
        <v>158</v>
      </c>
      <c r="F1185" s="17" t="s">
        <v>21</v>
      </c>
      <c r="G1185" s="51"/>
    </row>
    <row r="1186" spans="1:7" x14ac:dyDescent="0.2">
      <c r="A1186" s="15" t="s">
        <v>24</v>
      </c>
      <c r="B1186" s="3">
        <v>0</v>
      </c>
      <c r="C1186" s="4">
        <v>0</v>
      </c>
      <c r="D1186" s="7" t="s">
        <v>12</v>
      </c>
      <c r="E1186" s="6" t="s">
        <v>56</v>
      </c>
      <c r="F1186" s="17">
        <v>0</v>
      </c>
      <c r="G1186" s="51"/>
    </row>
    <row r="1187" spans="1:7" x14ac:dyDescent="0.2">
      <c r="A1187" s="15" t="s">
        <v>42</v>
      </c>
      <c r="B1187" s="9">
        <f>SUBTOTAL(109,B1183:B1186)</f>
        <v>1.2991324882944371</v>
      </c>
      <c r="C1187" s="10">
        <f>SUBTOTAL(109,C1183:C1186)</f>
        <v>1.32</v>
      </c>
      <c r="D1187" s="7"/>
      <c r="E1187" s="11"/>
      <c r="F1187" s="18"/>
      <c r="G1187" s="51"/>
    </row>
    <row r="1188" spans="1:7" ht="15" thickBot="1" x14ac:dyDescent="0.25">
      <c r="A1188" s="16" t="s">
        <v>43</v>
      </c>
      <c r="B1188" s="3">
        <v>6.2872544585639595E-2</v>
      </c>
      <c r="C1188" s="4">
        <v>0.1</v>
      </c>
      <c r="D1188" s="13" t="s">
        <v>12</v>
      </c>
      <c r="E1188" s="6" t="s">
        <v>154</v>
      </c>
      <c r="F1188" s="17" t="s">
        <v>45</v>
      </c>
      <c r="G1188" s="51"/>
    </row>
    <row r="1189" spans="1:7" ht="26.25" thickBot="1" x14ac:dyDescent="0.25">
      <c r="A1189" s="24" t="s">
        <v>46</v>
      </c>
      <c r="B1189" s="25"/>
      <c r="C1189" s="26">
        <v>5.0000000000000001E-4</v>
      </c>
      <c r="D1189" s="25"/>
      <c r="E1189" s="25"/>
      <c r="F1189" s="27"/>
      <c r="G1189" s="51"/>
    </row>
    <row r="1190" spans="1:7" ht="15" thickBot="1" x14ac:dyDescent="0.25">
      <c r="A1190" s="43" t="s">
        <v>332</v>
      </c>
      <c r="B1190" s="43"/>
      <c r="C1190" s="43"/>
      <c r="D1190" s="43"/>
      <c r="E1190" s="43"/>
      <c r="F1190" s="43"/>
      <c r="G1190" s="51"/>
    </row>
    <row r="1191" spans="1:7" x14ac:dyDescent="0.2">
      <c r="A1191" s="1" t="s">
        <v>1</v>
      </c>
      <c r="B1191" s="44" t="s">
        <v>319</v>
      </c>
      <c r="C1191" s="45"/>
      <c r="D1191" s="45"/>
      <c r="E1191" s="45"/>
      <c r="F1191" s="46"/>
      <c r="G1191" s="51"/>
    </row>
    <row r="1192" spans="1:7" ht="15" thickBot="1" x14ac:dyDescent="0.25">
      <c r="A1192" s="2" t="s">
        <v>3</v>
      </c>
      <c r="B1192" s="40" t="s">
        <v>320</v>
      </c>
      <c r="C1192" s="41"/>
      <c r="D1192" s="41"/>
      <c r="E1192" s="41"/>
      <c r="F1192" s="42"/>
      <c r="G1192" s="51"/>
    </row>
    <row r="1193" spans="1:7" ht="15" thickBot="1" x14ac:dyDescent="0.25">
      <c r="A1193" s="19" t="s">
        <v>5</v>
      </c>
      <c r="B1193" s="20" t="s">
        <v>6</v>
      </c>
      <c r="C1193" s="21" t="s">
        <v>7</v>
      </c>
      <c r="D1193" s="21" t="s">
        <v>8</v>
      </c>
      <c r="E1193" s="22" t="s">
        <v>9</v>
      </c>
      <c r="F1193" s="23" t="s">
        <v>10</v>
      </c>
      <c r="G1193" s="51"/>
    </row>
    <row r="1194" spans="1:7" ht="38.25" x14ac:dyDescent="0.2">
      <c r="A1194" s="14" t="s">
        <v>11</v>
      </c>
      <c r="B1194" s="3">
        <v>0.37995728002166612</v>
      </c>
      <c r="C1194" s="4">
        <v>0.36</v>
      </c>
      <c r="D1194" s="5" t="s">
        <v>12</v>
      </c>
      <c r="E1194" s="6" t="s">
        <v>139</v>
      </c>
      <c r="F1194" s="17" t="s">
        <v>321</v>
      </c>
      <c r="G1194" s="51"/>
    </row>
    <row r="1195" spans="1:7" x14ac:dyDescent="0.2">
      <c r="A1195" s="15" t="s">
        <v>15</v>
      </c>
      <c r="B1195" s="3">
        <v>0</v>
      </c>
      <c r="C1195" s="4">
        <v>0</v>
      </c>
      <c r="D1195" s="7" t="s">
        <v>16</v>
      </c>
      <c r="E1195" s="6" t="s">
        <v>23</v>
      </c>
      <c r="F1195" s="17" t="s">
        <v>18</v>
      </c>
      <c r="G1195" s="51"/>
    </row>
    <row r="1196" spans="1:7" x14ac:dyDescent="0.2">
      <c r="A1196" s="15" t="s">
        <v>22</v>
      </c>
      <c r="B1196" s="3">
        <v>0.43943788476004453</v>
      </c>
      <c r="C1196" s="4">
        <v>0.6</v>
      </c>
      <c r="D1196" s="7" t="s">
        <v>16</v>
      </c>
      <c r="E1196" s="6" t="s">
        <v>303</v>
      </c>
      <c r="F1196" s="17">
        <v>0</v>
      </c>
      <c r="G1196" s="51"/>
    </row>
    <row r="1197" spans="1:7" x14ac:dyDescent="0.2">
      <c r="A1197" s="15" t="s">
        <v>24</v>
      </c>
      <c r="B1197" s="3">
        <v>0</v>
      </c>
      <c r="C1197" s="4">
        <v>0</v>
      </c>
      <c r="D1197" s="7" t="s">
        <v>12</v>
      </c>
      <c r="E1197" s="6" t="s">
        <v>56</v>
      </c>
      <c r="F1197" s="17">
        <v>0</v>
      </c>
      <c r="G1197" s="51"/>
    </row>
    <row r="1198" spans="1:7" x14ac:dyDescent="0.2">
      <c r="A1198" s="15" t="s">
        <v>42</v>
      </c>
      <c r="B1198" s="9">
        <f>SUBTOTAL(109,B1194:B1197)</f>
        <v>0.81939516478171059</v>
      </c>
      <c r="C1198" s="10">
        <f>SUBTOTAL(109,C1194:C1197)</f>
        <v>0.96</v>
      </c>
      <c r="D1198" s="7"/>
      <c r="E1198" s="11"/>
      <c r="F1198" s="18"/>
      <c r="G1198" s="51"/>
    </row>
    <row r="1199" spans="1:7" ht="15" thickBot="1" x14ac:dyDescent="0.25">
      <c r="A1199" s="16" t="s">
        <v>43</v>
      </c>
      <c r="B1199" s="3">
        <v>0.20348109423139513</v>
      </c>
      <c r="C1199" s="4">
        <v>0.2</v>
      </c>
      <c r="D1199" s="13" t="s">
        <v>12</v>
      </c>
      <c r="E1199" s="6" t="s">
        <v>25</v>
      </c>
      <c r="F1199" s="17" t="s">
        <v>45</v>
      </c>
      <c r="G1199" s="51"/>
    </row>
    <row r="1200" spans="1:7" ht="26.25" thickBot="1" x14ac:dyDescent="0.25">
      <c r="A1200" s="24" t="s">
        <v>46</v>
      </c>
      <c r="B1200" s="25"/>
      <c r="C1200" s="26">
        <v>0</v>
      </c>
      <c r="D1200" s="25"/>
      <c r="E1200" s="25"/>
      <c r="F1200" s="27"/>
      <c r="G1200" s="51"/>
    </row>
    <row r="1201" spans="1:7" ht="15" thickBot="1" x14ac:dyDescent="0.25">
      <c r="A1201" s="43" t="s">
        <v>332</v>
      </c>
      <c r="B1201" s="43"/>
      <c r="C1201" s="43"/>
      <c r="D1201" s="43"/>
      <c r="E1201" s="43"/>
      <c r="F1201" s="43"/>
      <c r="G1201" s="51"/>
    </row>
    <row r="1202" spans="1:7" x14ac:dyDescent="0.2">
      <c r="A1202" s="1" t="s">
        <v>1</v>
      </c>
      <c r="B1202" s="44" t="s">
        <v>322</v>
      </c>
      <c r="C1202" s="45"/>
      <c r="D1202" s="45"/>
      <c r="E1202" s="45"/>
      <c r="F1202" s="46"/>
      <c r="G1202" s="51"/>
    </row>
    <row r="1203" spans="1:7" ht="15" thickBot="1" x14ac:dyDescent="0.25">
      <c r="A1203" s="2" t="s">
        <v>3</v>
      </c>
      <c r="B1203" s="40" t="s">
        <v>323</v>
      </c>
      <c r="C1203" s="41"/>
      <c r="D1203" s="41"/>
      <c r="E1203" s="41"/>
      <c r="F1203" s="42"/>
      <c r="G1203" s="51"/>
    </row>
    <row r="1204" spans="1:7" ht="15" thickBot="1" x14ac:dyDescent="0.25">
      <c r="A1204" s="19" t="s">
        <v>5</v>
      </c>
      <c r="B1204" s="20" t="s">
        <v>6</v>
      </c>
      <c r="C1204" s="21" t="s">
        <v>7</v>
      </c>
      <c r="D1204" s="21" t="s">
        <v>8</v>
      </c>
      <c r="E1204" s="22" t="s">
        <v>9</v>
      </c>
      <c r="F1204" s="23" t="s">
        <v>10</v>
      </c>
      <c r="G1204" s="51"/>
    </row>
    <row r="1205" spans="1:7" ht="38.25" x14ac:dyDescent="0.2">
      <c r="A1205" s="14" t="s">
        <v>11</v>
      </c>
      <c r="B1205" s="3">
        <v>0.98403835162496966</v>
      </c>
      <c r="C1205" s="4">
        <v>0.95</v>
      </c>
      <c r="D1205" s="5" t="s">
        <v>12</v>
      </c>
      <c r="E1205" s="6" t="s">
        <v>324</v>
      </c>
      <c r="F1205" s="17" t="s">
        <v>321</v>
      </c>
      <c r="G1205" s="51"/>
    </row>
    <row r="1206" spans="1:7" x14ac:dyDescent="0.2">
      <c r="A1206" s="15" t="s">
        <v>15</v>
      </c>
      <c r="B1206" s="3">
        <v>0</v>
      </c>
      <c r="C1206" s="4">
        <v>0</v>
      </c>
      <c r="D1206" s="7" t="s">
        <v>16</v>
      </c>
      <c r="E1206" s="6" t="s">
        <v>23</v>
      </c>
      <c r="F1206" s="17" t="s">
        <v>18</v>
      </c>
      <c r="G1206" s="51"/>
    </row>
    <row r="1207" spans="1:7" x14ac:dyDescent="0.2">
      <c r="A1207" s="15" t="s">
        <v>24</v>
      </c>
      <c r="B1207" s="3">
        <v>0</v>
      </c>
      <c r="C1207" s="4">
        <v>0</v>
      </c>
      <c r="D1207" s="7" t="s">
        <v>12</v>
      </c>
      <c r="E1207" s="6" t="s">
        <v>56</v>
      </c>
      <c r="F1207" s="17">
        <v>0</v>
      </c>
      <c r="G1207" s="51"/>
    </row>
    <row r="1208" spans="1:7" x14ac:dyDescent="0.2">
      <c r="A1208" s="15" t="s">
        <v>42</v>
      </c>
      <c r="B1208" s="9">
        <f>SUBTOTAL(109,B1205:B1207)</f>
        <v>0.98403835162496966</v>
      </c>
      <c r="C1208" s="10">
        <f>SUBTOTAL(109,C1205:C1207)</f>
        <v>0.95</v>
      </c>
      <c r="D1208" s="7"/>
      <c r="E1208" s="11"/>
      <c r="F1208" s="18"/>
      <c r="G1208" s="51"/>
    </row>
    <row r="1209" spans="1:7" ht="15" thickBot="1" x14ac:dyDescent="0.25">
      <c r="A1209" s="16" t="s">
        <v>43</v>
      </c>
      <c r="B1209" s="3">
        <v>0.40961815405934959</v>
      </c>
      <c r="C1209" s="4">
        <v>0.4</v>
      </c>
      <c r="D1209" s="13" t="s">
        <v>12</v>
      </c>
      <c r="E1209" s="6" t="s">
        <v>325</v>
      </c>
      <c r="F1209" s="17" t="s">
        <v>45</v>
      </c>
      <c r="G1209" s="51"/>
    </row>
    <row r="1210" spans="1:7" ht="26.25" thickBot="1" x14ac:dyDescent="0.25">
      <c r="A1210" s="24" t="s">
        <v>46</v>
      </c>
      <c r="B1210" s="25"/>
      <c r="C1210" s="26">
        <v>0</v>
      </c>
      <c r="D1210" s="25"/>
      <c r="E1210" s="25"/>
      <c r="F1210" s="27"/>
      <c r="G1210" s="51"/>
    </row>
    <row r="1211" spans="1:7" ht="15" thickBot="1" x14ac:dyDescent="0.25">
      <c r="A1211" s="43" t="s">
        <v>332</v>
      </c>
      <c r="B1211" s="43"/>
      <c r="C1211" s="43"/>
      <c r="D1211" s="43"/>
      <c r="E1211" s="43"/>
      <c r="F1211" s="43"/>
      <c r="G1211" s="51"/>
    </row>
    <row r="1212" spans="1:7" x14ac:dyDescent="0.2">
      <c r="A1212" s="1" t="s">
        <v>1</v>
      </c>
      <c r="B1212" s="44" t="s">
        <v>326</v>
      </c>
      <c r="C1212" s="45"/>
      <c r="D1212" s="45"/>
      <c r="E1212" s="45"/>
      <c r="F1212" s="46"/>
      <c r="G1212" s="51"/>
    </row>
    <row r="1213" spans="1:7" ht="15" thickBot="1" x14ac:dyDescent="0.25">
      <c r="A1213" s="2" t="s">
        <v>3</v>
      </c>
      <c r="B1213" s="40" t="s">
        <v>327</v>
      </c>
      <c r="C1213" s="41"/>
      <c r="D1213" s="41"/>
      <c r="E1213" s="41"/>
      <c r="F1213" s="42"/>
      <c r="G1213" s="51"/>
    </row>
    <row r="1214" spans="1:7" ht="15" thickBot="1" x14ac:dyDescent="0.25">
      <c r="A1214" s="19" t="s">
        <v>5</v>
      </c>
      <c r="B1214" s="20" t="s">
        <v>6</v>
      </c>
      <c r="C1214" s="21" t="s">
        <v>7</v>
      </c>
      <c r="D1214" s="21" t="s">
        <v>8</v>
      </c>
      <c r="E1214" s="22" t="s">
        <v>9</v>
      </c>
      <c r="F1214" s="23" t="s">
        <v>10</v>
      </c>
      <c r="G1214" s="51"/>
    </row>
    <row r="1215" spans="1:7" ht="25.5" x14ac:dyDescent="0.2">
      <c r="A1215" s="14" t="s">
        <v>11</v>
      </c>
      <c r="B1215" s="3">
        <v>0.15275428135210606</v>
      </c>
      <c r="C1215" s="4">
        <v>0.15</v>
      </c>
      <c r="D1215" s="5" t="s">
        <v>12</v>
      </c>
      <c r="E1215" s="6" t="s">
        <v>188</v>
      </c>
      <c r="F1215" s="17" t="s">
        <v>14</v>
      </c>
      <c r="G1215" s="51"/>
    </row>
    <row r="1216" spans="1:7" x14ac:dyDescent="0.2">
      <c r="A1216" s="15" t="s">
        <v>15</v>
      </c>
      <c r="B1216" s="3">
        <v>1.5269401868577522E-3</v>
      </c>
      <c r="C1216" s="4">
        <v>0.05</v>
      </c>
      <c r="D1216" s="7" t="s">
        <v>16</v>
      </c>
      <c r="E1216" s="6" t="s">
        <v>40</v>
      </c>
      <c r="F1216" s="17" t="s">
        <v>18</v>
      </c>
      <c r="G1216" s="51"/>
    </row>
    <row r="1217" spans="1:7" x14ac:dyDescent="0.2">
      <c r="A1217" s="15" t="s">
        <v>22</v>
      </c>
      <c r="B1217" s="3">
        <v>0.82377895675304702</v>
      </c>
      <c r="C1217" s="4">
        <v>0.8</v>
      </c>
      <c r="D1217" s="7" t="s">
        <v>16</v>
      </c>
      <c r="E1217" s="6" t="s">
        <v>168</v>
      </c>
      <c r="F1217" s="17" t="s">
        <v>328</v>
      </c>
      <c r="G1217" s="51"/>
    </row>
    <row r="1218" spans="1:7" ht="38.25" x14ac:dyDescent="0.2">
      <c r="A1218" s="15" t="s">
        <v>24</v>
      </c>
      <c r="B1218" s="3">
        <v>3.9543533761583516E-4</v>
      </c>
      <c r="C1218" s="4">
        <v>0</v>
      </c>
      <c r="D1218" s="7" t="s">
        <v>12</v>
      </c>
      <c r="E1218" s="6" t="s">
        <v>56</v>
      </c>
      <c r="F1218" s="17" t="s">
        <v>26</v>
      </c>
      <c r="G1218" s="51"/>
    </row>
    <row r="1219" spans="1:7" x14ac:dyDescent="0.2">
      <c r="A1219" s="15" t="s">
        <v>42</v>
      </c>
      <c r="B1219" s="9">
        <f>SUBTOTAL(109,B1215:B1218)</f>
        <v>0.97845561362962674</v>
      </c>
      <c r="C1219" s="10">
        <f>SUBTOTAL(109,C1215:C1218)</f>
        <v>1</v>
      </c>
      <c r="D1219" s="7"/>
      <c r="E1219" s="11"/>
      <c r="F1219" s="18"/>
      <c r="G1219" s="51"/>
    </row>
    <row r="1220" spans="1:7" ht="15" thickBot="1" x14ac:dyDescent="0.25">
      <c r="A1220" s="16" t="s">
        <v>43</v>
      </c>
      <c r="B1220" s="3">
        <v>5.3095243299605077E-2</v>
      </c>
      <c r="C1220" s="4">
        <v>0.1</v>
      </c>
      <c r="D1220" s="13" t="s">
        <v>12</v>
      </c>
      <c r="E1220" s="6" t="s">
        <v>154</v>
      </c>
      <c r="F1220" s="17" t="s">
        <v>45</v>
      </c>
      <c r="G1220" s="51"/>
    </row>
    <row r="1221" spans="1:7" ht="26.25" thickBot="1" x14ac:dyDescent="0.25">
      <c r="A1221" s="24" t="s">
        <v>46</v>
      </c>
      <c r="B1221" s="25"/>
      <c r="C1221" s="26">
        <v>1E-3</v>
      </c>
      <c r="D1221" s="25"/>
      <c r="E1221" s="25"/>
      <c r="F1221" s="27"/>
      <c r="G1221" s="51"/>
    </row>
    <row r="1222" spans="1:7" ht="15" thickBot="1" x14ac:dyDescent="0.25">
      <c r="A1222" s="43" t="s">
        <v>332</v>
      </c>
      <c r="B1222" s="43"/>
      <c r="C1222" s="43"/>
      <c r="D1222" s="43"/>
      <c r="E1222" s="43"/>
      <c r="F1222" s="43"/>
      <c r="G1222" s="51"/>
    </row>
    <row r="1223" spans="1:7" x14ac:dyDescent="0.2">
      <c r="A1223" s="1" t="s">
        <v>1</v>
      </c>
      <c r="B1223" s="44" t="s">
        <v>329</v>
      </c>
      <c r="C1223" s="45"/>
      <c r="D1223" s="45"/>
      <c r="E1223" s="45"/>
      <c r="F1223" s="46"/>
      <c r="G1223" s="51"/>
    </row>
    <row r="1224" spans="1:7" ht="15" thickBot="1" x14ac:dyDescent="0.25">
      <c r="A1224" s="2" t="s">
        <v>3</v>
      </c>
      <c r="B1224" s="40" t="s">
        <v>330</v>
      </c>
      <c r="C1224" s="41"/>
      <c r="D1224" s="41"/>
      <c r="E1224" s="41"/>
      <c r="F1224" s="42"/>
      <c r="G1224" s="51"/>
    </row>
    <row r="1225" spans="1:7" ht="15" thickBot="1" x14ac:dyDescent="0.25">
      <c r="A1225" s="19" t="s">
        <v>5</v>
      </c>
      <c r="B1225" s="20" t="s">
        <v>6</v>
      </c>
      <c r="C1225" s="21" t="s">
        <v>7</v>
      </c>
      <c r="D1225" s="21" t="s">
        <v>8</v>
      </c>
      <c r="E1225" s="22" t="s">
        <v>9</v>
      </c>
      <c r="F1225" s="23" t="s">
        <v>10</v>
      </c>
      <c r="G1225" s="51"/>
    </row>
    <row r="1226" spans="1:7" ht="25.5" x14ac:dyDescent="0.2">
      <c r="A1226" s="14" t="s">
        <v>11</v>
      </c>
      <c r="B1226" s="3">
        <v>0.15170385149758089</v>
      </c>
      <c r="C1226" s="4">
        <v>0.15</v>
      </c>
      <c r="D1226" s="5" t="s">
        <v>12</v>
      </c>
      <c r="E1226" s="6" t="s">
        <v>188</v>
      </c>
      <c r="F1226" s="17" t="s">
        <v>14</v>
      </c>
      <c r="G1226" s="51"/>
    </row>
    <row r="1227" spans="1:7" x14ac:dyDescent="0.2">
      <c r="A1227" s="15" t="s">
        <v>15</v>
      </c>
      <c r="B1227" s="3">
        <v>1.2916505377400674E-3</v>
      </c>
      <c r="C1227" s="4">
        <v>0.05</v>
      </c>
      <c r="D1227" s="7" t="s">
        <v>16</v>
      </c>
      <c r="E1227" s="6" t="s">
        <v>40</v>
      </c>
      <c r="F1227" s="17" t="s">
        <v>18</v>
      </c>
      <c r="G1227" s="51"/>
    </row>
    <row r="1228" spans="1:7" x14ac:dyDescent="0.2">
      <c r="A1228" s="15" t="s">
        <v>22</v>
      </c>
      <c r="B1228" s="3">
        <v>0.78359496873309342</v>
      </c>
      <c r="C1228" s="4">
        <v>0.8</v>
      </c>
      <c r="D1228" s="7" t="s">
        <v>16</v>
      </c>
      <c r="E1228" s="6" t="s">
        <v>168</v>
      </c>
      <c r="F1228" s="17" t="s">
        <v>331</v>
      </c>
      <c r="G1228" s="51"/>
    </row>
    <row r="1229" spans="1:7" ht="38.25" x14ac:dyDescent="0.2">
      <c r="A1229" s="15" t="s">
        <v>24</v>
      </c>
      <c r="B1229" s="3">
        <v>3.6552995502679741E-4</v>
      </c>
      <c r="C1229" s="4">
        <v>0</v>
      </c>
      <c r="D1229" s="7" t="s">
        <v>12</v>
      </c>
      <c r="E1229" s="6" t="s">
        <v>56</v>
      </c>
      <c r="F1229" s="17" t="s">
        <v>26</v>
      </c>
      <c r="G1229" s="51"/>
    </row>
    <row r="1230" spans="1:7" x14ac:dyDescent="0.2">
      <c r="A1230" s="15" t="s">
        <v>42</v>
      </c>
      <c r="B1230" s="9">
        <f>SUBTOTAL(109,B1226:B1229)</f>
        <v>0.93695600072344121</v>
      </c>
      <c r="C1230" s="10">
        <f>SUBTOTAL(109,C1226:C1229)</f>
        <v>1</v>
      </c>
      <c r="D1230" s="7"/>
      <c r="E1230" s="11"/>
      <c r="F1230" s="18"/>
      <c r="G1230" s="51"/>
    </row>
    <row r="1231" spans="1:7" ht="15" thickBot="1" x14ac:dyDescent="0.25">
      <c r="A1231" s="16" t="s">
        <v>43</v>
      </c>
      <c r="B1231" s="3">
        <v>3.9737467799915119E-2</v>
      </c>
      <c r="C1231" s="4">
        <v>0.1</v>
      </c>
      <c r="D1231" s="13" t="s">
        <v>12</v>
      </c>
      <c r="E1231" s="6" t="s">
        <v>154</v>
      </c>
      <c r="F1231" s="17" t="s">
        <v>45</v>
      </c>
      <c r="G1231" s="51"/>
    </row>
    <row r="1232" spans="1:7" ht="26.25" thickBot="1" x14ac:dyDescent="0.25">
      <c r="A1232" s="24" t="s">
        <v>46</v>
      </c>
      <c r="B1232" s="25"/>
      <c r="C1232" s="26">
        <v>1E-3</v>
      </c>
      <c r="D1232" s="25"/>
      <c r="E1232" s="25"/>
      <c r="F1232" s="27"/>
      <c r="G1232" s="51"/>
    </row>
    <row r="1233" spans="1:7" x14ac:dyDescent="0.2">
      <c r="A1233" s="47" t="s">
        <v>332</v>
      </c>
      <c r="B1233" s="47"/>
      <c r="C1233" s="47"/>
      <c r="D1233" s="47"/>
      <c r="E1233" s="47"/>
      <c r="F1233" s="47"/>
      <c r="G1233" s="51"/>
    </row>
    <row r="1234" spans="1:7" x14ac:dyDescent="0.2">
      <c r="A1234" s="48" t="s">
        <v>333</v>
      </c>
      <c r="B1234" s="48"/>
      <c r="C1234" s="48"/>
      <c r="D1234" s="48"/>
      <c r="E1234" s="48"/>
      <c r="F1234" s="48"/>
      <c r="G1234" s="51"/>
    </row>
  </sheetData>
  <mergeCells count="328">
    <mergeCell ref="A51:F51"/>
    <mergeCell ref="B52:F52"/>
    <mergeCell ref="B53:F53"/>
    <mergeCell ref="A66:F66"/>
    <mergeCell ref="B67:F67"/>
    <mergeCell ref="B68:F68"/>
    <mergeCell ref="A1:F1"/>
    <mergeCell ref="G1:G1234"/>
    <mergeCell ref="B2:F2"/>
    <mergeCell ref="B3:F3"/>
    <mergeCell ref="A18:F18"/>
    <mergeCell ref="B19:F19"/>
    <mergeCell ref="B20:F20"/>
    <mergeCell ref="A35:F35"/>
    <mergeCell ref="B36:F36"/>
    <mergeCell ref="B37:F37"/>
    <mergeCell ref="A109:F109"/>
    <mergeCell ref="B110:F110"/>
    <mergeCell ref="B111:F111"/>
    <mergeCell ref="A126:F126"/>
    <mergeCell ref="B127:F127"/>
    <mergeCell ref="B128:F128"/>
    <mergeCell ref="A82:F82"/>
    <mergeCell ref="B83:F83"/>
    <mergeCell ref="B84:F84"/>
    <mergeCell ref="A95:F95"/>
    <mergeCell ref="B96:F96"/>
    <mergeCell ref="B97:F97"/>
    <mergeCell ref="A176:F176"/>
    <mergeCell ref="B177:F177"/>
    <mergeCell ref="B178:F178"/>
    <mergeCell ref="A192:F192"/>
    <mergeCell ref="B193:F193"/>
    <mergeCell ref="B194:F194"/>
    <mergeCell ref="A143:F143"/>
    <mergeCell ref="B144:F144"/>
    <mergeCell ref="B145:F145"/>
    <mergeCell ref="A158:F158"/>
    <mergeCell ref="B159:F159"/>
    <mergeCell ref="B160:F160"/>
    <mergeCell ref="A243:F243"/>
    <mergeCell ref="B244:F244"/>
    <mergeCell ref="B245:F245"/>
    <mergeCell ref="A258:F258"/>
    <mergeCell ref="B259:F259"/>
    <mergeCell ref="B260:F260"/>
    <mergeCell ref="A209:F209"/>
    <mergeCell ref="B210:F210"/>
    <mergeCell ref="B211:F211"/>
    <mergeCell ref="A226:F226"/>
    <mergeCell ref="B227:F227"/>
    <mergeCell ref="B228:F228"/>
    <mergeCell ref="A301:F301"/>
    <mergeCell ref="B302:F302"/>
    <mergeCell ref="B303:F303"/>
    <mergeCell ref="A315:F315"/>
    <mergeCell ref="B316:F316"/>
    <mergeCell ref="B317:F317"/>
    <mergeCell ref="A274:F274"/>
    <mergeCell ref="B275:F275"/>
    <mergeCell ref="B276:F276"/>
    <mergeCell ref="A286:F286"/>
    <mergeCell ref="B287:F287"/>
    <mergeCell ref="B288:F288"/>
    <mergeCell ref="A356:F356"/>
    <mergeCell ref="B357:F357"/>
    <mergeCell ref="B358:F358"/>
    <mergeCell ref="A368:F368"/>
    <mergeCell ref="B369:F369"/>
    <mergeCell ref="B370:F370"/>
    <mergeCell ref="A329:F329"/>
    <mergeCell ref="B330:F330"/>
    <mergeCell ref="B331:F331"/>
    <mergeCell ref="A343:F343"/>
    <mergeCell ref="B344:F344"/>
    <mergeCell ref="B345:F345"/>
    <mergeCell ref="A413:F413"/>
    <mergeCell ref="B414:F414"/>
    <mergeCell ref="B415:F415"/>
    <mergeCell ref="A428:F428"/>
    <mergeCell ref="B429:F429"/>
    <mergeCell ref="B430:F430"/>
    <mergeCell ref="A382:F382"/>
    <mergeCell ref="B383:F383"/>
    <mergeCell ref="B384:F384"/>
    <mergeCell ref="A397:F397"/>
    <mergeCell ref="B398:F398"/>
    <mergeCell ref="B399:F399"/>
    <mergeCell ref="A471:F471"/>
    <mergeCell ref="B472:F472"/>
    <mergeCell ref="B473:F473"/>
    <mergeCell ref="A486:F486"/>
    <mergeCell ref="B487:F487"/>
    <mergeCell ref="B488:F488"/>
    <mergeCell ref="A440:F440"/>
    <mergeCell ref="B441:F441"/>
    <mergeCell ref="B442:F442"/>
    <mergeCell ref="A455:F455"/>
    <mergeCell ref="B456:F456"/>
    <mergeCell ref="B457:F457"/>
    <mergeCell ref="A520:F520"/>
    <mergeCell ref="B521:F521"/>
    <mergeCell ref="B522:F522"/>
    <mergeCell ref="A531:F531"/>
    <mergeCell ref="B532:F532"/>
    <mergeCell ref="B533:F533"/>
    <mergeCell ref="A498:F498"/>
    <mergeCell ref="B499:F499"/>
    <mergeCell ref="B500:F500"/>
    <mergeCell ref="A509:F509"/>
    <mergeCell ref="B510:F510"/>
    <mergeCell ref="B511:F511"/>
    <mergeCell ref="A566:F566"/>
    <mergeCell ref="B567:F567"/>
    <mergeCell ref="B568:F568"/>
    <mergeCell ref="A578:F578"/>
    <mergeCell ref="B579:F579"/>
    <mergeCell ref="B580:F580"/>
    <mergeCell ref="A542:F542"/>
    <mergeCell ref="B543:F543"/>
    <mergeCell ref="B544:F544"/>
    <mergeCell ref="A553:F553"/>
    <mergeCell ref="B554:F554"/>
    <mergeCell ref="B555:F555"/>
    <mergeCell ref="A613:F613"/>
    <mergeCell ref="B614:F614"/>
    <mergeCell ref="B615:F615"/>
    <mergeCell ref="A624:F624"/>
    <mergeCell ref="B625:F625"/>
    <mergeCell ref="B626:F626"/>
    <mergeCell ref="A589:F589"/>
    <mergeCell ref="B590:F590"/>
    <mergeCell ref="B591:F591"/>
    <mergeCell ref="A601:F601"/>
    <mergeCell ref="B602:F602"/>
    <mergeCell ref="B603:F603"/>
    <mergeCell ref="A655:F655"/>
    <mergeCell ref="B656:F656"/>
    <mergeCell ref="B657:F657"/>
    <mergeCell ref="A666:F666"/>
    <mergeCell ref="B667:F667"/>
    <mergeCell ref="B668:F668"/>
    <mergeCell ref="A634:F634"/>
    <mergeCell ref="B635:F635"/>
    <mergeCell ref="B636:F636"/>
    <mergeCell ref="A644:F644"/>
    <mergeCell ref="B645:F645"/>
    <mergeCell ref="B646:F646"/>
    <mergeCell ref="A700:F700"/>
    <mergeCell ref="A701:F701"/>
    <mergeCell ref="B702:F702"/>
    <mergeCell ref="B703:F703"/>
    <mergeCell ref="A711:F711"/>
    <mergeCell ref="A712:F712"/>
    <mergeCell ref="A677:F677"/>
    <mergeCell ref="B678:F678"/>
    <mergeCell ref="B679:F679"/>
    <mergeCell ref="A689:F689"/>
    <mergeCell ref="B690:F690"/>
    <mergeCell ref="B691:F691"/>
    <mergeCell ref="A733:F733"/>
    <mergeCell ref="A734:F734"/>
    <mergeCell ref="B735:F735"/>
    <mergeCell ref="B736:F736"/>
    <mergeCell ref="A744:F744"/>
    <mergeCell ref="A745:F745"/>
    <mergeCell ref="B713:F713"/>
    <mergeCell ref="B714:F714"/>
    <mergeCell ref="A722:F722"/>
    <mergeCell ref="A723:F723"/>
    <mergeCell ref="B724:F724"/>
    <mergeCell ref="B725:F725"/>
    <mergeCell ref="A766:F766"/>
    <mergeCell ref="A767:F767"/>
    <mergeCell ref="B768:F768"/>
    <mergeCell ref="B769:F769"/>
    <mergeCell ref="A778:F778"/>
    <mergeCell ref="A779:F779"/>
    <mergeCell ref="B746:F746"/>
    <mergeCell ref="B747:F747"/>
    <mergeCell ref="A755:F755"/>
    <mergeCell ref="A756:F756"/>
    <mergeCell ref="B757:F757"/>
    <mergeCell ref="B758:F758"/>
    <mergeCell ref="A800:F800"/>
    <mergeCell ref="A801:F801"/>
    <mergeCell ref="B802:F802"/>
    <mergeCell ref="B803:F803"/>
    <mergeCell ref="A811:F811"/>
    <mergeCell ref="A812:F812"/>
    <mergeCell ref="B780:F780"/>
    <mergeCell ref="B781:F781"/>
    <mergeCell ref="A789:F789"/>
    <mergeCell ref="A790:F790"/>
    <mergeCell ref="B791:F791"/>
    <mergeCell ref="B792:F792"/>
    <mergeCell ref="A834:F834"/>
    <mergeCell ref="A835:F835"/>
    <mergeCell ref="B836:F836"/>
    <mergeCell ref="B837:F837"/>
    <mergeCell ref="A845:F845"/>
    <mergeCell ref="A846:F846"/>
    <mergeCell ref="B813:F813"/>
    <mergeCell ref="B814:F814"/>
    <mergeCell ref="A823:F823"/>
    <mergeCell ref="A824:F824"/>
    <mergeCell ref="B825:F825"/>
    <mergeCell ref="B826:F826"/>
    <mergeCell ref="A867:F867"/>
    <mergeCell ref="A868:F868"/>
    <mergeCell ref="B869:F869"/>
    <mergeCell ref="B870:F870"/>
    <mergeCell ref="A878:F878"/>
    <mergeCell ref="A879:F879"/>
    <mergeCell ref="B847:F847"/>
    <mergeCell ref="B848:F848"/>
    <mergeCell ref="A856:F856"/>
    <mergeCell ref="A857:F857"/>
    <mergeCell ref="B858:F858"/>
    <mergeCell ref="B859:F859"/>
    <mergeCell ref="A901:F901"/>
    <mergeCell ref="A902:F902"/>
    <mergeCell ref="B903:F903"/>
    <mergeCell ref="B904:F904"/>
    <mergeCell ref="A912:F912"/>
    <mergeCell ref="A913:F913"/>
    <mergeCell ref="B880:F880"/>
    <mergeCell ref="B881:F881"/>
    <mergeCell ref="A890:F890"/>
    <mergeCell ref="A891:F891"/>
    <mergeCell ref="B892:F892"/>
    <mergeCell ref="B893:F893"/>
    <mergeCell ref="A934:F934"/>
    <mergeCell ref="A935:F935"/>
    <mergeCell ref="B936:F936"/>
    <mergeCell ref="B937:F937"/>
    <mergeCell ref="A945:F945"/>
    <mergeCell ref="A946:F946"/>
    <mergeCell ref="B914:F914"/>
    <mergeCell ref="B915:F915"/>
    <mergeCell ref="A923:F923"/>
    <mergeCell ref="A924:F924"/>
    <mergeCell ref="B925:F925"/>
    <mergeCell ref="B926:F926"/>
    <mergeCell ref="A968:F968"/>
    <mergeCell ref="A969:F969"/>
    <mergeCell ref="B970:F970"/>
    <mergeCell ref="B971:F971"/>
    <mergeCell ref="A979:F979"/>
    <mergeCell ref="A980:F980"/>
    <mergeCell ref="B947:F947"/>
    <mergeCell ref="B948:F948"/>
    <mergeCell ref="A956:F956"/>
    <mergeCell ref="A957:F957"/>
    <mergeCell ref="B958:F958"/>
    <mergeCell ref="B959:F959"/>
    <mergeCell ref="A1003:F1003"/>
    <mergeCell ref="A1004:F1004"/>
    <mergeCell ref="B1005:F1005"/>
    <mergeCell ref="B1006:F1006"/>
    <mergeCell ref="A1015:F1015"/>
    <mergeCell ref="A1016:F1016"/>
    <mergeCell ref="B981:F981"/>
    <mergeCell ref="B982:F982"/>
    <mergeCell ref="A991:F991"/>
    <mergeCell ref="A992:F992"/>
    <mergeCell ref="B993:F993"/>
    <mergeCell ref="B994:F994"/>
    <mergeCell ref="A1040:F1040"/>
    <mergeCell ref="A1041:F1041"/>
    <mergeCell ref="B1042:F1042"/>
    <mergeCell ref="B1043:F1043"/>
    <mergeCell ref="A1052:F1052"/>
    <mergeCell ref="A1053:F1053"/>
    <mergeCell ref="B1017:F1017"/>
    <mergeCell ref="B1018:F1018"/>
    <mergeCell ref="A1028:F1028"/>
    <mergeCell ref="A1029:F1029"/>
    <mergeCell ref="B1030:F1030"/>
    <mergeCell ref="B1031:F1031"/>
    <mergeCell ref="A1076:F1076"/>
    <mergeCell ref="A1077:F1077"/>
    <mergeCell ref="B1078:F1078"/>
    <mergeCell ref="B1079:F1079"/>
    <mergeCell ref="A1089:F1089"/>
    <mergeCell ref="B1090:F1090"/>
    <mergeCell ref="B1054:F1054"/>
    <mergeCell ref="B1055:F1055"/>
    <mergeCell ref="A1064:F1064"/>
    <mergeCell ref="A1065:F1065"/>
    <mergeCell ref="B1066:F1066"/>
    <mergeCell ref="B1067:F1067"/>
    <mergeCell ref="B1118:F1118"/>
    <mergeCell ref="A1128:F1128"/>
    <mergeCell ref="B1129:F1129"/>
    <mergeCell ref="B1130:F1130"/>
    <mergeCell ref="A1139:F1139"/>
    <mergeCell ref="B1140:F1140"/>
    <mergeCell ref="B1091:F1091"/>
    <mergeCell ref="A1100:F1100"/>
    <mergeCell ref="B1101:F1101"/>
    <mergeCell ref="B1102:F1102"/>
    <mergeCell ref="A1116:F1116"/>
    <mergeCell ref="B1117:F1117"/>
    <mergeCell ref="B1169:F1169"/>
    <mergeCell ref="A1179:F1179"/>
    <mergeCell ref="B1180:F1180"/>
    <mergeCell ref="B1181:F1181"/>
    <mergeCell ref="A1190:F1190"/>
    <mergeCell ref="B1191:F1191"/>
    <mergeCell ref="B1141:F1141"/>
    <mergeCell ref="A1154:F1154"/>
    <mergeCell ref="B1155:F1155"/>
    <mergeCell ref="B1156:F1156"/>
    <mergeCell ref="A1167:F1167"/>
    <mergeCell ref="B1168:F1168"/>
    <mergeCell ref="B1213:F1213"/>
    <mergeCell ref="A1222:F1222"/>
    <mergeCell ref="B1223:F1223"/>
    <mergeCell ref="B1224:F1224"/>
    <mergeCell ref="A1233:F1233"/>
    <mergeCell ref="A1234:F1234"/>
    <mergeCell ref="B1192:F1192"/>
    <mergeCell ref="A1201:F1201"/>
    <mergeCell ref="B1202:F1202"/>
    <mergeCell ref="B1203:F1203"/>
    <mergeCell ref="A1211:F1211"/>
    <mergeCell ref="B1212:F1212"/>
  </mergeCells>
  <pageMargins left="0.7" right="0.7" top="0.75" bottom="0.75" header="0.3" footer="0.3"/>
  <tableParts count="9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7A476-2464-453D-8692-824EAA3A518D}">
  <dimension ref="A1:D7"/>
  <sheetViews>
    <sheetView rightToLeft="1" workbookViewId="0">
      <selection activeCell="A3" sqref="A3"/>
    </sheetView>
  </sheetViews>
  <sheetFormatPr defaultRowHeight="14.25" x14ac:dyDescent="0.2"/>
  <cols>
    <col min="1" max="1" width="34.5" bestFit="1" customWidth="1"/>
    <col min="2" max="2" width="28.125" bestFit="1" customWidth="1"/>
    <col min="3" max="3" width="76.375" customWidth="1"/>
    <col min="4" max="4" width="13.875" customWidth="1"/>
  </cols>
  <sheetData>
    <row r="1" spans="1:4" ht="15" x14ac:dyDescent="0.25">
      <c r="A1" s="37" t="s">
        <v>395</v>
      </c>
      <c r="B1" s="38" t="s">
        <v>396</v>
      </c>
      <c r="C1" s="37" t="s">
        <v>397</v>
      </c>
      <c r="D1" s="37" t="s">
        <v>398</v>
      </c>
    </row>
    <row r="2" spans="1:4" ht="71.25" x14ac:dyDescent="0.2">
      <c r="A2" s="39" t="s">
        <v>248</v>
      </c>
      <c r="B2" s="39" t="s">
        <v>249</v>
      </c>
      <c r="C2" s="54" t="s">
        <v>405</v>
      </c>
      <c r="D2" s="55">
        <v>46294</v>
      </c>
    </row>
    <row r="3" spans="1:4" ht="71.25" x14ac:dyDescent="0.2">
      <c r="A3" s="39" t="s">
        <v>250</v>
      </c>
      <c r="B3" s="39" t="s">
        <v>251</v>
      </c>
      <c r="C3" s="54" t="s">
        <v>405</v>
      </c>
      <c r="D3" s="55">
        <v>46294</v>
      </c>
    </row>
    <row r="4" spans="1:4" ht="71.25" x14ac:dyDescent="0.2">
      <c r="A4" s="39" t="s">
        <v>241</v>
      </c>
      <c r="B4" s="39" t="s">
        <v>242</v>
      </c>
      <c r="C4" s="54" t="s">
        <v>405</v>
      </c>
      <c r="D4" s="55">
        <v>46294</v>
      </c>
    </row>
    <row r="5" spans="1:4" ht="71.25" x14ac:dyDescent="0.2">
      <c r="A5" s="39" t="s">
        <v>244</v>
      </c>
      <c r="B5" s="39" t="s">
        <v>245</v>
      </c>
      <c r="C5" s="54" t="s">
        <v>405</v>
      </c>
      <c r="D5" s="55">
        <v>46294</v>
      </c>
    </row>
    <row r="6" spans="1:4" ht="71.25" x14ac:dyDescent="0.2">
      <c r="A6" s="39" t="s">
        <v>246</v>
      </c>
      <c r="B6" s="39" t="s">
        <v>247</v>
      </c>
      <c r="C6" s="54" t="s">
        <v>405</v>
      </c>
      <c r="D6" s="55">
        <v>46294</v>
      </c>
    </row>
    <row r="7" spans="1:4" x14ac:dyDescent="0.2">
      <c r="A7" s="39" t="s">
        <v>406</v>
      </c>
      <c r="B7" s="39" t="s">
        <v>406</v>
      </c>
      <c r="C7" s="54" t="s">
        <v>407</v>
      </c>
      <c r="D7" s="55">
        <v>46294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מדיניות השקעות אחראית</vt:lpstr>
      <vt:lpstr>הצהרות</vt:lpstr>
      <vt:lpstr>מהות שינויים</vt:lpstr>
    </vt:vector>
  </TitlesOfParts>
  <Company>Meitav Dash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Ohad Avivi</dc:creator>
  <cp:lastModifiedBy>Ohad Avivi</cp:lastModifiedBy>
  <dcterms:created xsi:type="dcterms:W3CDTF">2026-01-28T14:27:19Z</dcterms:created>
  <dcterms:modified xsi:type="dcterms:W3CDTF">2026-09-30T12:50:07Z</dcterms:modified>
</cp:coreProperties>
</file>