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bookViews>
    <workbookView xWindow="0" yWindow="60" windowWidth="28800" windowHeight="7830" tabRatio="694"/>
  </bookViews>
  <sheets>
    <sheet name="אנליסט גמל לבני 50 ומטה" sheetId="3" r:id="rId1"/>
    <sheet name="אנליסט גמל לבני 50-60" sheetId="4" r:id="rId2"/>
    <sheet name="אנליסט גמל לבני 60 ומעלה " sheetId="5" r:id="rId3"/>
    <sheet name="אנליסט השתלמות כללי " sheetId="2" r:id="rId4"/>
    <sheet name="אנליסט פיצויים כללי" sheetId="6" r:id="rId5"/>
    <sheet name="אנליסט פיצויים עד 10% מניות" sheetId="7" r:id="rId6"/>
    <sheet name="אנליסט גמל להשקעה כללי" sheetId="9" r:id="rId7"/>
    <sheet name="אנליסט גמל להשקעה פאסיבי כללי" sheetId="10" r:id="rId8"/>
    <sheet name="מתמחות 2019 " sheetId="1" r:id="rId9"/>
    <sheet name="אנליסט חיסכון לילד-סיכון מועט" sheetId="11" r:id="rId10"/>
    <sheet name="אנליסט חיסכון לילד-סיכון בינוני" sheetId="12" r:id="rId11"/>
    <sheet name="אנליסט חיסכון לילד-סיכון גבוה" sheetId="13" r:id="rId12"/>
  </sheets>
  <definedNames>
    <definedName name="_xlnm._FilterDatabase" localSheetId="8" hidden="1">'מתמחות 2019 '!$A$2:$Y$59</definedName>
  </definedNames>
  <calcPr calcId="162913"/>
</workbook>
</file>

<file path=xl/calcChain.xml><?xml version="1.0" encoding="utf-8"?>
<calcChain xmlns="http://schemas.openxmlformats.org/spreadsheetml/2006/main">
  <c r="C13" i="9" l="1"/>
  <c r="B11" i="6"/>
  <c r="C13" i="5"/>
  <c r="C13" i="11" l="1"/>
  <c r="C13" i="7"/>
  <c r="C14" i="4" l="1"/>
  <c r="C13" i="3" l="1"/>
  <c r="B13" i="11" l="1"/>
  <c r="B13" i="10"/>
  <c r="B13" i="9"/>
  <c r="B13" i="7"/>
  <c r="B13" i="6"/>
  <c r="B13" i="2"/>
  <c r="B13" i="5"/>
</calcChain>
</file>

<file path=xl/sharedStrings.xml><?xml version="1.0" encoding="utf-8"?>
<sst xmlns="http://schemas.openxmlformats.org/spreadsheetml/2006/main" count="362" uniqueCount="127">
  <si>
    <t>שם מסלול חדש</t>
  </si>
  <si>
    <t>אנליסט גמל חו"ל</t>
  </si>
  <si>
    <t>Barclays Global Aggregate Bond Index מדד</t>
  </si>
  <si>
    <t xml:space="preserve">מדד אגח כללי </t>
  </si>
  <si>
    <t xml:space="preserve">מדד MSCI WORLD </t>
  </si>
  <si>
    <t>מזומן- דולר</t>
  </si>
  <si>
    <t>bofa merrill lynch us treasury index</t>
  </si>
  <si>
    <t>מדד אגח קונצרני כללי</t>
  </si>
  <si>
    <t>מדד אג"ח ממשלתי כללי</t>
  </si>
  <si>
    <t>מזומן</t>
  </si>
  <si>
    <t>אנליסט השתלמות אג"ח עד 20% מניות</t>
  </si>
  <si>
    <t>אנליסט גמל אג"ח עד 10% מניות</t>
  </si>
  <si>
    <t>אנליסט השתלמות אג"ח עד 10% מניות</t>
  </si>
  <si>
    <t>אנליסט גמל  ישראל</t>
  </si>
  <si>
    <t xml:space="preserve">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</si>
  <si>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אנליסט השתלמות כללי</t>
  </si>
  <si>
    <t>אפיק השקעה</t>
  </si>
  <si>
    <t>טווח סטייה</t>
  </si>
  <si>
    <t>מדד ייחוס</t>
  </si>
  <si>
    <t>מניות (תעודות סל, אופציות קרנות נאמנות)</t>
  </si>
  <si>
    <t>אגח ממשלתי</t>
  </si>
  <si>
    <t>מדד כללי ממשלתי: 90%,  bofa merrill lynch us treasury index 10%</t>
  </si>
  <si>
    <t>24%-36%</t>
  </si>
  <si>
    <t>מדד אג"ח קונצרני כללי: 70%, Barclays Global Aggregate Corporate Bond Index  30%</t>
  </si>
  <si>
    <t>0%-5%</t>
  </si>
  <si>
    <t>סה"כ</t>
  </si>
  <si>
    <t>11%-23%</t>
  </si>
  <si>
    <t xml:space="preserve">*לרבות הלוואות לא סחירות.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</si>
  <si>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</si>
  <si>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</si>
  <si>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אנליסט השתלמות  אג"ח </t>
  </si>
  <si>
    <t>אנליסט גמל מניות</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</si>
  <si>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</si>
  <si>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אנליסט השתלמות מניות</t>
  </si>
  <si>
    <t>מדד MSCI WORLD</t>
  </si>
  <si>
    <t>אנליסט גמל שקלי טווח קצר</t>
  </si>
  <si>
    <r>
      <t>נכ</t>
    </r>
    <r>
      <rPr>
        <sz val="9"/>
        <color indexed="8"/>
        <rFont val="Arial"/>
        <family val="2"/>
      </rPr>
      <t xml:space="preserve">סי המסלול יהיו חשופים לנכסים הבאים, שאינם צמודים: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r>
  </si>
  <si>
    <t>פקדונות</t>
  </si>
  <si>
    <t xml:space="preserve">אנליסט השתלמות שקלי טווח קצר </t>
  </si>
  <si>
    <t>מק"מ</t>
  </si>
  <si>
    <t xml:space="preserve">אג"ח  כללי </t>
  </si>
  <si>
    <t>אנליסט גמל מניות בחו"ל</t>
  </si>
  <si>
    <t xml:space="preserve">אנליסט השתלמות חו"ל </t>
  </si>
  <si>
    <t>אנליסט גמל אג"ח ממשלת ישראל</t>
  </si>
  <si>
    <t xml:space="preserve">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</si>
  <si>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מדד אג"ח ממששלתי כללי</t>
  </si>
  <si>
    <t>אנליסט השתלמות אג"ח ממשלת ישראל</t>
  </si>
  <si>
    <t>אנליסט פיצויים ממשלתי</t>
  </si>
  <si>
    <t>מדד אג"ח ממשלתי כללי לא צמוד מדד 0-2</t>
  </si>
  <si>
    <t>מדד אג"ח ממשלתי צמוד מדד 0-2</t>
  </si>
  <si>
    <t>אנליסט גמל אג"ח</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</si>
  <si>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</si>
  <si>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שהונפקו בישראל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</si>
  <si>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נכסי המסלול יהיו חשופים למניות שנסחרות 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</si>
  <si>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 xml:space="preserve">מדד אג"ח קונצרני כללי: 70%, Barclays Global Aggregate Corporate Bond Index  30%
</t>
  </si>
  <si>
    <t>0%-7%</t>
  </si>
  <si>
    <t>2%-10%</t>
  </si>
  <si>
    <t>45%-55%</t>
  </si>
  <si>
    <t>מדד כללי ממשלתי: 100%</t>
  </si>
  <si>
    <t>29%-41%</t>
  </si>
  <si>
    <t>מדד אג"ח קונצרני כללי: 80%, Barclays Global Aggregate Corporate Bond Index  20%</t>
  </si>
  <si>
    <t>2%-14%</t>
  </si>
  <si>
    <t>אנליסט גמל לבני 50 ומטה</t>
  </si>
  <si>
    <t>אנליסט גמל לבני 50-60</t>
  </si>
  <si>
    <t>אנליסט גמל לבני 60 ומעלה</t>
  </si>
  <si>
    <t>אנליסט פיצויים כללי</t>
  </si>
  <si>
    <t>אנליסט פיצויים עד 10% מניות</t>
  </si>
  <si>
    <t>28%-40%</t>
  </si>
  <si>
    <t>27%-39%</t>
  </si>
  <si>
    <t>25%-35%</t>
  </si>
  <si>
    <t xml:space="preserve">מדד כללי ממשלתי: 100% </t>
  </si>
  <si>
    <t>מדד תל בונד מאגר  75%, barclays capital global credit 25%</t>
  </si>
  <si>
    <t>אנליסט גמל להשקעה כללי</t>
  </si>
  <si>
    <t>אנליסט גמל להשקעה פאסיבי כללי</t>
  </si>
  <si>
    <t>אנליסט גמל להשקעה אג"ח</t>
  </si>
  <si>
    <t>אנליסט גמל להשקעה אג"ח עד 20% מניות</t>
  </si>
  <si>
    <t>אנליסט גמל להשקעה מניות</t>
  </si>
  <si>
    <t xml:space="preserve">אנליסט גמל להשקעה שקלי טווח קצר </t>
  </si>
  <si>
    <t xml:space="preserve">אנליסט גמל להשקעה חו"ל </t>
  </si>
  <si>
    <t>מסלול בו יושקעו לפחות 75% מנכסי המסלול במלוות ממשלתיים קצרי מועד (מק"מ), באגרות חוב שקליות של מדינת ישראל ובאגרות חוב צמודות של מדינת ישראל הצפויות להיפרע בתוך 3 שנים.</t>
  </si>
  <si>
    <t>8%-18%</t>
  </si>
  <si>
    <t>10%-20%</t>
  </si>
  <si>
    <t>28%-38%</t>
  </si>
  <si>
    <t>אנליסט חיסכון לילד- חוסכים המעדיפים סיכון מועט (מ.ה 11365)</t>
  </si>
  <si>
    <t>מדיניות ההשקעה מסתמכת על מדיניות השקעה במסלול קיים: אנליסט מסלולית קופת גמל - מסלול לבני 60 ומעלה מ.ה 9732</t>
  </si>
  <si>
    <t>מדיניות ההשקעה הצפויה של המסלול נתונה לשינוי על פי הוראות הדין</t>
  </si>
  <si>
    <t>אנליסט חיסכון לילד- חוסכים המעדיפים סיכון בינוני (מ.ה 11366)</t>
  </si>
  <si>
    <t>מדיניות ההשקעה מסתמכת על מדיניות השקעה במסלול קיים: אנליסט מסלולית קופת גמל - ישראל מ.ה 811</t>
  </si>
  <si>
    <t xml:space="preserve">שם מסלול </t>
  </si>
  <si>
    <t xml:space="preserve">אנליסט חיסכון לילד- חוסכים המעדיפים סיכון בינוני </t>
  </si>
  <si>
    <t>אנליסט חיסכון לילד- חוסכים המעדיפים סיכון גבוה (מ.ה 11367)</t>
  </si>
  <si>
    <t>מדיניות ההשקעה מסתמכת על מדיניות השקעה במסלול קיים: אנליסט גמל מניות מ.ה 814</t>
  </si>
  <si>
    <t>אנליסט חיסכון לילד- חוסכים המעדיפים סיכון גבוה</t>
  </si>
  <si>
    <t>20%-30%</t>
  </si>
  <si>
    <t>26%-38%</t>
  </si>
  <si>
    <t>34%-46%</t>
  </si>
  <si>
    <t>38%-50%</t>
  </si>
  <si>
    <t>מדד תא 125 : 45% , מדד MSCI WORLD 55%</t>
  </si>
  <si>
    <t>מדד תא 125 : 50% , מדד MSCI WORLD 50%</t>
  </si>
  <si>
    <t>מדד תא 125 : 50% , ספ 500: 23%, נאסדק 100: 12%, יורו סטוקס 600 : 10%, שווקים מתעוררים: 5%</t>
  </si>
  <si>
    <t>מדד ת"א 125</t>
  </si>
  <si>
    <t>אחר***</t>
  </si>
  <si>
    <t>חשיפה למט"ח****</t>
  </si>
  <si>
    <t xml:space="preserve"> - בבחינת השקעותיה משקללת החברה את ניתוח היבטי הממשל התאגידי בחברות בהן היא משקיעה. כאשר על פי ניתוח זה, או במסגרת הסיקור השוטף של החברה ע"י מחלקת המחקר, תהא אינדיקציה על פי המידע הציבורי הקיים שהתאגיד המסוקר נוקט בחריגה בתחומי האחראיות החברתית, דוגמת ניצול עובדים מחפיר, איכות הסביבה וכו'. יילקח הדבר בחשבון לעניין החלטת ההשקעה בתאגיד זה.</t>
  </si>
  <si>
    <t>לרבות סחורות, קרנות גידור, קרנות השקעה וכל נכס שאינו נכלל באחד האפיקים המוצהרים</t>
  </si>
  <si>
    <t>מזומן ושווה מזומן</t>
  </si>
  <si>
    <t>אחר**</t>
  </si>
  <si>
    <t>חשיפה למט"ח***</t>
  </si>
  <si>
    <t xml:space="preserve">**אחר </t>
  </si>
  <si>
    <t>***לרבות נגזרי מטח</t>
  </si>
  <si>
    <t>מזומן ושווה מזומן**</t>
  </si>
  <si>
    <t xml:space="preserve">***אחר </t>
  </si>
  <si>
    <t>****לרבות נגזרי מטח</t>
  </si>
  <si>
    <t>**החשיפה לאפיקי ההשקעה הינה באמצעות נכסי בסיס וחוזים עתידיים. שיעור המזומן בדוח החשיפה כולל השפעה של הדלתא בגין חוזים אלו.</t>
  </si>
  <si>
    <t>אגח קונצרני (קרנות נאמנות, קרנות סל)*</t>
  </si>
  <si>
    <t>מניות (קרנות סל, אופציות ,קרנות נאמנות)</t>
  </si>
  <si>
    <t>שיעור חשיפה צפוי ל 2019</t>
  </si>
  <si>
    <t xml:space="preserve">גבולות שיעור החשיפה הצפוי 2019  </t>
  </si>
  <si>
    <t>14%-26%</t>
  </si>
  <si>
    <t>שיעור חשיפה ליום 31/12/2018</t>
  </si>
  <si>
    <t>14-26%</t>
  </si>
  <si>
    <t>10%-22%</t>
  </si>
  <si>
    <t>מניות (קרנות סל, אופציות, קרנות נאמנות)</t>
  </si>
  <si>
    <t>מניות( קרנות סל, אופציות ,קרנות נאמנות)</t>
  </si>
  <si>
    <t>אגח קונצרני (קרנות נאמנות,קרנות סל)*</t>
  </si>
  <si>
    <t>מדיניות השקעה 2019</t>
  </si>
  <si>
    <t>מדד ייחוס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</si>
</sst>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F400]h:mm:ss\ AM/PM"/>
    <numFmt numFmtId="170" formatCode="0.000%"/>
  </numFmts>
  <fonts count="82" x14ac:knownFonts="1">
    <font>
      <sz val="11"/>
      <color theme="1"/>
      <name val="Arial"/>
      <family val="2"/>
      <charset val="177"/>
      <scheme val="minor"/>
    </font>
    <font>
      <sz val="11"/>
      <color indexed="8"/>
      <name val="Arial"/>
      <family val="2"/>
      <charset val="177"/>
    </font>
    <font>
      <b/>
      <sz val="9"/>
      <name val="Arial"/>
      <family val="2"/>
    </font>
    <font>
      <sz val="9"/>
      <name val="Arial"/>
      <family val="2"/>
      <charset val="177"/>
    </font>
    <font>
      <sz val="10"/>
      <name val="Arial"/>
      <family val="2"/>
    </font>
    <font>
      <b/>
      <sz val="12"/>
      <name val="Arial"/>
      <family val="2"/>
    </font>
    <font>
      <sz val="9"/>
      <color indexed="8"/>
      <name val="Arial"/>
      <family val="2"/>
    </font>
    <font>
      <b/>
      <sz val="10"/>
      <name val="Arial"/>
      <family val="2"/>
    </font>
    <font>
      <sz val="11"/>
      <color indexed="9"/>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0"/>
      <name val="Miriam"/>
      <family val="2"/>
      <charset val="177"/>
    </font>
    <font>
      <sz val="10"/>
      <color indexed="8"/>
      <name val="Arial"/>
      <family val="2"/>
      <charset val="177"/>
    </font>
    <font>
      <sz val="9"/>
      <color indexed="8"/>
      <name val="Calibri"/>
      <family val="2"/>
    </font>
    <font>
      <sz val="9"/>
      <color indexed="9"/>
      <name val="Calibri"/>
      <family val="2"/>
    </font>
    <font>
      <sz val="9"/>
      <color indexed="36"/>
      <name val="Calibri"/>
      <family val="2"/>
    </font>
    <font>
      <b/>
      <sz val="9"/>
      <color indexed="43"/>
      <name val="Calibri"/>
      <family val="2"/>
    </font>
    <font>
      <b/>
      <sz val="9"/>
      <color indexed="9"/>
      <name val="Calibri"/>
      <family val="2"/>
    </font>
    <font>
      <i/>
      <sz val="9"/>
      <color indexed="23"/>
      <name val="Calibri"/>
      <family val="2"/>
    </font>
    <font>
      <sz val="9"/>
      <color indexed="17"/>
      <name val="Calibri"/>
      <family val="2"/>
    </font>
    <font>
      <b/>
      <sz val="15"/>
      <color indexed="48"/>
      <name val="Calibri"/>
      <family val="2"/>
    </font>
    <font>
      <b/>
      <sz val="13"/>
      <color indexed="48"/>
      <name val="Calibri"/>
      <family val="2"/>
    </font>
    <font>
      <b/>
      <sz val="11"/>
      <color indexed="48"/>
      <name val="Calibri"/>
      <family val="2"/>
    </font>
    <font>
      <u/>
      <sz val="8.8000000000000007"/>
      <color indexed="12"/>
      <name val="Arial"/>
      <family val="2"/>
    </font>
    <font>
      <sz val="9"/>
      <color indexed="54"/>
      <name val="Calibri"/>
      <family val="2"/>
    </font>
    <font>
      <sz val="9"/>
      <color indexed="43"/>
      <name val="Calibri"/>
      <family val="2"/>
    </font>
    <font>
      <sz val="9"/>
      <color indexed="60"/>
      <name val="Calibri"/>
      <family val="2"/>
    </font>
    <font>
      <b/>
      <sz val="9"/>
      <color indexed="23"/>
      <name val="Calibri"/>
      <family val="2"/>
    </font>
    <font>
      <b/>
      <sz val="18"/>
      <color indexed="48"/>
      <name val="Cambria"/>
      <family val="1"/>
    </font>
    <font>
      <b/>
      <sz val="9"/>
      <color indexed="8"/>
      <name val="Calibri"/>
      <family val="2"/>
    </font>
    <font>
      <sz val="9"/>
      <color indexed="10"/>
      <name val="Calibri"/>
      <family val="2"/>
    </font>
    <font>
      <b/>
      <sz val="11"/>
      <color indexed="9"/>
      <name val="Calibri"/>
      <family val="2"/>
    </font>
    <font>
      <b/>
      <sz val="9"/>
      <name val="Arial"/>
      <family val="2"/>
      <scheme val="minor"/>
    </font>
    <font>
      <sz val="9"/>
      <color theme="1"/>
      <name val="Arial"/>
      <family val="2"/>
    </font>
    <font>
      <b/>
      <sz val="12"/>
      <color rgb="FF1F497D"/>
      <name val="David"/>
      <family val="2"/>
      <charset val="177"/>
    </font>
    <font>
      <b/>
      <sz val="12"/>
      <color theme="0"/>
      <name val="Arial"/>
      <family val="2"/>
      <charset val="177"/>
    </font>
    <font>
      <b/>
      <sz val="10"/>
      <color theme="1"/>
      <name val="Arial"/>
      <family val="2"/>
      <scheme val="minor"/>
    </font>
    <font>
      <sz val="9"/>
      <name val="Arial"/>
      <family val="2"/>
      <scheme val="minor"/>
    </font>
    <font>
      <b/>
      <sz val="11"/>
      <color theme="1"/>
      <name val="Arial"/>
      <family val="2"/>
      <scheme val="minor"/>
    </font>
    <font>
      <b/>
      <sz val="9"/>
      <color theme="1"/>
      <name val="Arial"/>
      <family val="2"/>
      <scheme val="minor"/>
    </font>
    <font>
      <sz val="9"/>
      <color theme="1"/>
      <name val="Arial"/>
      <family val="2"/>
      <scheme val="minor"/>
    </font>
    <font>
      <b/>
      <sz val="11"/>
      <color theme="0"/>
      <name val="Arial"/>
      <family val="2"/>
    </font>
    <font>
      <sz val="11"/>
      <color rgb="FFFA7D00"/>
      <name val="Arial"/>
      <family val="2"/>
      <charset val="177"/>
      <scheme val="minor"/>
    </font>
    <font>
      <b/>
      <sz val="11"/>
      <color theme="0"/>
      <name val="Arial"/>
      <family val="2"/>
      <charset val="177"/>
      <scheme val="minor"/>
    </font>
    <font>
      <sz val="11"/>
      <color rgb="FF9C0006"/>
      <name val="Arial"/>
      <family val="2"/>
      <charset val="177"/>
      <scheme val="minor"/>
    </font>
    <font>
      <sz val="11"/>
      <color rgb="FF3F3F76"/>
      <name val="Arial"/>
      <family val="2"/>
      <charset val="177"/>
      <scheme val="minor"/>
    </font>
    <font>
      <b/>
      <sz val="11"/>
      <color rgb="FF3F3F3F"/>
      <name val="Arial"/>
      <family val="2"/>
      <charset val="177"/>
      <scheme val="minor"/>
    </font>
    <font>
      <sz val="11"/>
      <color rgb="FF9C6500"/>
      <name val="Arial"/>
      <family val="2"/>
      <charset val="177"/>
      <scheme val="minor"/>
    </font>
    <font>
      <sz val="18"/>
      <color theme="3"/>
      <name val="Times New Roman"/>
      <family val="2"/>
      <charset val="177"/>
      <scheme val="major"/>
    </font>
    <font>
      <b/>
      <sz val="18"/>
      <color theme="3"/>
      <name val="Times New Roman"/>
      <family val="2"/>
      <charset val="177"/>
      <scheme val="major"/>
    </font>
    <font>
      <b/>
      <sz val="11"/>
      <color theme="3"/>
      <name val="Arial"/>
      <family val="2"/>
      <charset val="177"/>
      <scheme val="minor"/>
    </font>
    <font>
      <b/>
      <sz val="13"/>
      <color theme="3"/>
      <name val="Arial"/>
      <family val="2"/>
      <charset val="177"/>
      <scheme val="minor"/>
    </font>
    <font>
      <b/>
      <sz val="15"/>
      <color theme="3"/>
      <name val="Arial"/>
      <family val="2"/>
      <charset val="177"/>
      <scheme val="minor"/>
    </font>
    <font>
      <i/>
      <sz val="11"/>
      <color rgb="FF7F7F7F"/>
      <name val="Arial"/>
      <family val="2"/>
      <charset val="177"/>
      <scheme val="minor"/>
    </font>
    <font>
      <sz val="11"/>
      <color rgb="FFFF0000"/>
      <name val="Arial"/>
      <family val="2"/>
      <charset val="177"/>
      <scheme val="minor"/>
    </font>
    <font>
      <sz val="11"/>
      <color rgb="FF006100"/>
      <name val="Arial"/>
      <family val="2"/>
      <charset val="177"/>
      <scheme val="minor"/>
    </font>
    <font>
      <b/>
      <sz val="11"/>
      <color rgb="FFFA7D00"/>
      <name val="Arial"/>
      <family val="2"/>
      <charset val="177"/>
      <scheme val="minor"/>
    </font>
    <font>
      <u/>
      <sz val="11"/>
      <color theme="11"/>
      <name val="Arial"/>
      <family val="2"/>
      <charset val="177"/>
      <scheme val="minor"/>
    </font>
    <font>
      <u/>
      <sz val="11"/>
      <color theme="10"/>
      <name val="Arial"/>
      <family val="2"/>
      <charset val="177"/>
      <scheme val="minor"/>
    </font>
    <font>
      <sz val="11"/>
      <color theme="0"/>
      <name val="Arial"/>
      <family val="2"/>
      <charset val="177"/>
      <scheme val="minor"/>
    </font>
    <font>
      <sz val="10"/>
      <name val="Arial"/>
      <family val="2"/>
      <scheme val="minor"/>
    </font>
    <font>
      <sz val="11"/>
      <color rgb="FF000000"/>
      <name val="Arial"/>
      <family val="2"/>
      <charset val="177"/>
      <scheme val="minor"/>
    </font>
    <font>
      <sz val="10"/>
      <color rgb="FF000000"/>
      <name val="Arial"/>
      <family val="2"/>
    </font>
    <font>
      <sz val="10"/>
      <color theme="1"/>
      <name val="Arial"/>
      <family val="2"/>
      <charset val="177"/>
    </font>
    <font>
      <sz val="11"/>
      <color theme="1"/>
      <name val="Arial"/>
      <family val="2"/>
      <charset val="177"/>
      <scheme val="minor"/>
    </font>
    <font>
      <sz val="9"/>
      <color theme="1"/>
      <name val="Arial"/>
      <family val="2"/>
      <charset val="177"/>
      <scheme val="minor"/>
    </font>
    <font>
      <sz val="9"/>
      <name val="Arial"/>
      <family val="2"/>
      <charset val="177"/>
      <scheme val="minor"/>
    </font>
    <font>
      <sz val="9"/>
      <name val="Arial"/>
      <family val="2"/>
    </font>
    <font>
      <sz val="9"/>
      <color theme="1"/>
      <name val="Arial"/>
      <family val="2"/>
      <charset val="177"/>
    </font>
  </fonts>
  <fills count="66">
    <fill>
      <patternFill patternType="none"/>
    </fill>
    <fill>
      <patternFill patternType="gray125"/>
    </fill>
    <fill>
      <patternFill patternType="solid">
        <fgColor indexed="31"/>
        <bgColor indexed="64"/>
      </patternFill>
    </fill>
    <fill>
      <patternFill patternType="solid">
        <fgColor indexed="44"/>
        <bgColor indexed="64"/>
      </patternFill>
    </fill>
    <fill>
      <patternFill patternType="solid">
        <fgColor theme="4" tint="0.79995117038483843"/>
        <bgColor indexed="64"/>
      </patternFill>
    </fill>
    <fill>
      <patternFill patternType="solid">
        <fgColor indexed="45"/>
        <bgColor indexed="64"/>
      </patternFill>
    </fill>
    <fill>
      <patternFill patternType="solid">
        <fgColor indexed="63"/>
        <bgColor indexed="64"/>
      </patternFill>
    </fill>
    <fill>
      <patternFill patternType="solid">
        <fgColor theme="5" tint="0.79995117038483843"/>
        <bgColor indexed="64"/>
      </patternFill>
    </fill>
    <fill>
      <patternFill patternType="solid">
        <fgColor indexed="42"/>
        <bgColor indexed="64"/>
      </patternFill>
    </fill>
    <fill>
      <patternFill patternType="solid">
        <fgColor theme="6" tint="0.79995117038483843"/>
        <bgColor indexed="64"/>
      </patternFill>
    </fill>
    <fill>
      <patternFill patternType="solid">
        <fgColor indexed="46"/>
        <bgColor indexed="64"/>
      </patternFill>
    </fill>
    <fill>
      <patternFill patternType="solid">
        <fgColor indexed="55"/>
        <bgColor indexed="64"/>
      </patternFill>
    </fill>
    <fill>
      <patternFill patternType="solid">
        <fgColor theme="7" tint="0.79995117038483843"/>
        <bgColor indexed="64"/>
      </patternFill>
    </fill>
    <fill>
      <patternFill patternType="solid">
        <fgColor indexed="27"/>
        <bgColor indexed="64"/>
      </patternFill>
    </fill>
    <fill>
      <patternFill patternType="solid">
        <fgColor theme="8" tint="0.79995117038483843"/>
        <bgColor indexed="64"/>
      </patternFill>
    </fill>
    <fill>
      <patternFill patternType="solid">
        <fgColor indexed="47"/>
        <bgColor indexed="64"/>
      </patternFill>
    </fill>
    <fill>
      <patternFill patternType="solid">
        <fgColor theme="9" tint="0.79995117038483843"/>
        <bgColor indexed="64"/>
      </patternFill>
    </fill>
    <fill>
      <patternFill patternType="solid">
        <fgColor indexed="40"/>
        <bgColor indexed="64"/>
      </patternFill>
    </fill>
    <fill>
      <patternFill patternType="solid">
        <fgColor theme="4" tint="0.59996337778862885"/>
        <bgColor indexed="64"/>
      </patternFill>
    </fill>
    <fill>
      <patternFill patternType="solid">
        <fgColor indexed="29"/>
        <bgColor indexed="64"/>
      </patternFill>
    </fill>
    <fill>
      <patternFill patternType="solid">
        <fgColor indexed="62"/>
        <bgColor indexed="64"/>
      </patternFill>
    </fill>
    <fill>
      <patternFill patternType="solid">
        <fgColor theme="5" tint="0.59996337778862885"/>
        <bgColor indexed="64"/>
      </patternFill>
    </fill>
    <fill>
      <patternFill patternType="solid">
        <fgColor indexed="11"/>
        <bgColor indexed="64"/>
      </patternFill>
    </fill>
    <fill>
      <patternFill patternType="solid">
        <fgColor theme="6" tint="0.59996337778862885"/>
        <bgColor indexed="64"/>
      </patternFill>
    </fill>
    <fill>
      <patternFill patternType="solid">
        <fgColor theme="7" tint="0.59996337778862885"/>
        <bgColor indexed="64"/>
      </patternFill>
    </fill>
    <fill>
      <patternFill patternType="solid">
        <fgColor theme="8" tint="0.59996337778862885"/>
        <bgColor indexed="64"/>
      </patternFill>
    </fill>
    <fill>
      <patternFill patternType="solid">
        <fgColor indexed="51"/>
        <bgColor indexed="64"/>
      </patternFill>
    </fill>
    <fill>
      <patternFill patternType="solid">
        <fgColor theme="9" tint="0.59996337778862885"/>
        <bgColor indexed="64"/>
      </patternFill>
    </fill>
    <fill>
      <patternFill patternType="solid">
        <fgColor indexed="30"/>
        <bgColor indexed="64"/>
      </patternFill>
    </fill>
    <fill>
      <patternFill patternType="solid">
        <fgColor theme="4" tint="0.39997558519241921"/>
        <bgColor indexed="64"/>
      </patternFill>
    </fill>
    <fill>
      <patternFill patternType="solid">
        <fgColor indexed="14"/>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indexed="36"/>
        <bgColor indexed="64"/>
      </patternFill>
    </fill>
    <fill>
      <patternFill patternType="solid">
        <fgColor indexed="54"/>
        <bgColor indexed="64"/>
      </patternFill>
    </fill>
    <fill>
      <patternFill patternType="solid">
        <fgColor theme="7" tint="0.39997558519241921"/>
        <bgColor indexed="64"/>
      </patternFill>
    </fill>
    <fill>
      <patternFill patternType="solid">
        <fgColor indexed="49"/>
        <bgColor indexed="64"/>
      </patternFill>
    </fill>
    <fill>
      <patternFill patternType="solid">
        <fgColor theme="8" tint="0.39997558519241921"/>
        <bgColor indexed="64"/>
      </patternFill>
    </fill>
    <fill>
      <patternFill patternType="solid">
        <fgColor indexed="52"/>
        <bgColor indexed="64"/>
      </patternFill>
    </fill>
    <fill>
      <patternFill patternType="solid">
        <fgColor theme="9" tint="0.39997558519241921"/>
        <bgColor indexed="64"/>
      </patternFill>
    </fill>
    <fill>
      <patternFill patternType="solid">
        <fgColor indexed="48"/>
        <bgColor indexed="64"/>
      </patternFill>
    </fill>
    <fill>
      <patternFill patternType="solid">
        <fgColor theme="4"/>
        <bgColor indexed="64"/>
      </patternFill>
    </fill>
    <fill>
      <patternFill patternType="solid">
        <fgColor indexed="10"/>
        <bgColor indexed="64"/>
      </patternFill>
    </fill>
    <fill>
      <patternFill patternType="solid">
        <fgColor theme="5"/>
        <bgColor indexed="64"/>
      </patternFill>
    </fill>
    <fill>
      <patternFill patternType="solid">
        <fgColor indexed="57"/>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indexed="53"/>
        <bgColor indexed="64"/>
      </patternFill>
    </fill>
    <fill>
      <patternFill patternType="solid">
        <fgColor indexed="18"/>
        <bgColor indexed="64"/>
      </patternFill>
    </fill>
    <fill>
      <patternFill patternType="solid">
        <fgColor theme="9"/>
        <bgColor indexed="64"/>
      </patternFill>
    </fill>
    <fill>
      <patternFill patternType="solid">
        <fgColor rgb="FFFFC7CE"/>
        <bgColor indexed="64"/>
      </patternFill>
    </fill>
    <fill>
      <patternFill patternType="solid">
        <fgColor rgb="FF4F81BD"/>
        <bgColor indexed="64"/>
      </patternFill>
    </fill>
    <fill>
      <patternFill patternType="solid">
        <fgColor indexed="22"/>
        <bgColor indexed="64"/>
      </patternFill>
    </fill>
    <fill>
      <patternFill patternType="solid">
        <fgColor rgb="FFF2F2F2"/>
        <bgColor indexed="64"/>
      </patternFill>
    </fill>
    <fill>
      <patternFill patternType="solid">
        <fgColor indexed="23"/>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indexed="43"/>
        <bgColor indexed="64"/>
      </patternFill>
    </fill>
    <fill>
      <patternFill patternType="solid">
        <fgColor rgb="FFFFEB9C"/>
        <bgColor indexed="64"/>
      </patternFill>
    </fill>
    <fill>
      <patternFill patternType="solid">
        <fgColor indexed="26"/>
        <bgColor indexed="64"/>
      </patternFill>
    </fill>
    <fill>
      <patternFill patternType="solid">
        <fgColor rgb="FFFFFFCC"/>
        <bgColor indexed="64"/>
      </patternFill>
    </fill>
    <fill>
      <patternFill patternType="solid">
        <fgColor theme="4" tint="-0.49995422223578601"/>
        <bgColor indexed="64"/>
      </patternFill>
    </fill>
    <fill>
      <patternFill patternType="solid">
        <fgColor theme="0" tint="-0.14996795556505021"/>
        <bgColor indexed="64"/>
      </patternFill>
    </fill>
    <fill>
      <patternFill patternType="solid">
        <fgColor theme="0" tint="-0.34995574816125979"/>
        <bgColor indexed="64"/>
      </patternFill>
    </fill>
  </fills>
  <borders count="57">
    <border>
      <left/>
      <right/>
      <top/>
      <bottom/>
      <diagonal/>
    </border>
    <border>
      <left style="thin">
        <color indexed="23"/>
      </left>
      <right style="thin">
        <color indexed="23"/>
      </right>
      <top style="thin">
        <color indexed="23"/>
      </top>
      <bottom style="thin">
        <color indexed="23"/>
      </bottom>
      <diagonal/>
    </border>
    <border>
      <left style="thin">
        <color rgb="FF7F7F7F"/>
      </left>
      <right style="thin">
        <color rgb="FF7F7F7F"/>
      </right>
      <top style="thin">
        <color rgb="FF7F7F7F"/>
      </top>
      <bottom style="thin">
        <color rgb="FF7F7F7F"/>
      </bottom>
      <diagonal/>
    </border>
    <border>
      <left style="double">
        <color indexed="63"/>
      </left>
      <right style="double">
        <color indexed="63"/>
      </right>
      <top style="double">
        <color indexed="63"/>
      </top>
      <bottom style="double">
        <color indexed="63"/>
      </bottom>
      <diagonal/>
    </border>
    <border>
      <left style="double">
        <color indexed="23"/>
      </left>
      <right style="double">
        <color indexed="23"/>
      </right>
      <top style="double">
        <color indexed="23"/>
      </top>
      <bottom style="double">
        <color indexed="23"/>
      </bottom>
      <diagonal/>
    </border>
    <border>
      <left style="double">
        <color rgb="FF3F3F3F"/>
      </left>
      <right style="double">
        <color rgb="FF3F3F3F"/>
      </right>
      <top style="double">
        <color rgb="FF3F3F3F"/>
      </top>
      <bottom style="double">
        <color rgb="FF3F3F3F"/>
      </bottom>
      <diagonal/>
    </border>
    <border>
      <left/>
      <right/>
      <top/>
      <bottom style="thick">
        <color indexed="62"/>
      </bottom>
      <diagonal/>
    </border>
    <border>
      <left/>
      <right/>
      <top/>
      <bottom style="thick">
        <color indexed="48"/>
      </bottom>
      <diagonal/>
    </border>
    <border>
      <left/>
      <right/>
      <top/>
      <bottom style="thick">
        <color theme="4"/>
      </bottom>
      <diagonal/>
    </border>
    <border>
      <left/>
      <right/>
      <top/>
      <bottom style="thick">
        <color indexed="22"/>
      </bottom>
      <diagonal/>
    </border>
    <border>
      <left/>
      <right/>
      <top/>
      <bottom style="thick">
        <color indexed="40"/>
      </bottom>
      <diagonal/>
    </border>
    <border>
      <left/>
      <right/>
      <top/>
      <bottom style="thick">
        <color theme="4" tint="0.49995422223578601"/>
      </bottom>
      <diagonal/>
    </border>
    <border>
      <left/>
      <right/>
      <top/>
      <bottom style="medium">
        <color indexed="30"/>
      </bottom>
      <diagonal/>
    </border>
    <border>
      <left/>
      <right/>
      <top/>
      <bottom style="medium">
        <color indexed="40"/>
      </bottom>
      <diagonal/>
    </border>
    <border>
      <left/>
      <right/>
      <top/>
      <bottom style="medium">
        <color theme="4" tint="0.39997558519241921"/>
      </bottom>
      <diagonal/>
    </border>
    <border>
      <left/>
      <right/>
      <top/>
      <bottom style="double">
        <color indexed="52"/>
      </bottom>
      <diagonal/>
    </border>
    <border>
      <left/>
      <right/>
      <top/>
      <bottom style="double">
        <color indexed="43"/>
      </bottom>
      <diagonal/>
    </border>
    <border>
      <left/>
      <right/>
      <top/>
      <bottom style="double">
        <color rgb="FFFF8001"/>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rgb="FFB2B2B2"/>
      </left>
      <right style="thin">
        <color rgb="FFB2B2B2"/>
      </right>
      <top style="thin">
        <color rgb="FFB2B2B2"/>
      </top>
      <bottom style="thin">
        <color rgb="FFB2B2B2"/>
      </bottom>
      <diagonal/>
    </border>
    <border>
      <left style="thin">
        <color indexed="63"/>
      </left>
      <right style="thin">
        <color indexed="63"/>
      </right>
      <top style="thin">
        <color indexed="63"/>
      </top>
      <bottom style="thin">
        <color indexed="63"/>
      </bottom>
      <diagonal/>
    </border>
    <border>
      <left style="thin">
        <color rgb="FF3F3F3F"/>
      </left>
      <right style="thin">
        <color rgb="FF3F3F3F"/>
      </right>
      <top style="thin">
        <color rgb="FF3F3F3F"/>
      </top>
      <bottom style="thin">
        <color rgb="FF3F3F3F"/>
      </bottom>
      <diagonal/>
    </border>
    <border>
      <left/>
      <right/>
      <top style="thin">
        <color indexed="62"/>
      </top>
      <bottom style="double">
        <color indexed="62"/>
      </bottom>
      <diagonal/>
    </border>
    <border>
      <left/>
      <right/>
      <top style="thin">
        <color indexed="48"/>
      </top>
      <bottom style="double">
        <color indexed="48"/>
      </bottom>
      <diagonal/>
    </border>
    <border>
      <left/>
      <right/>
      <top style="thin">
        <color theme="4"/>
      </top>
      <bottom style="double">
        <color theme="4"/>
      </bottom>
      <diagonal/>
    </border>
    <border>
      <left style="medium">
        <color theme="0"/>
      </left>
      <right/>
      <top style="medium">
        <color theme="0"/>
      </top>
      <bottom/>
      <diagonal/>
    </border>
    <border>
      <left style="medium">
        <color auto="1"/>
      </left>
      <right style="medium">
        <color auto="1"/>
      </right>
      <top style="medium">
        <color auto="1"/>
      </top>
      <bottom/>
      <diagonal/>
    </border>
    <border>
      <left/>
      <right/>
      <top style="medium">
        <color auto="1"/>
      </top>
      <bottom style="thin">
        <color auto="1"/>
      </bottom>
      <diagonal/>
    </border>
    <border>
      <left/>
      <right/>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theme="0"/>
      </top>
      <bottom style="medium">
        <color theme="0"/>
      </bottom>
      <diagonal/>
    </border>
    <border>
      <left/>
      <right/>
      <top style="medium">
        <color auto="1"/>
      </top>
      <bottom/>
      <diagonal/>
    </border>
    <border>
      <left style="medium">
        <color theme="0"/>
      </left>
      <right style="medium">
        <color theme="0"/>
      </right>
      <top style="medium">
        <color theme="0"/>
      </top>
      <bottom style="medium">
        <color theme="0"/>
      </bottom>
      <diagonal/>
    </border>
    <border>
      <left/>
      <right/>
      <top style="medium">
        <color theme="0"/>
      </top>
      <bottom style="medium">
        <color auto="1"/>
      </bottom>
      <diagonal/>
    </border>
    <border>
      <left style="medium">
        <color auto="1"/>
      </left>
      <right style="medium">
        <color auto="1"/>
      </right>
      <top style="medium">
        <color theme="0"/>
      </top>
      <bottom style="medium">
        <color auto="1"/>
      </bottom>
      <diagonal/>
    </border>
    <border>
      <left/>
      <right style="medium">
        <color auto="1"/>
      </right>
      <top/>
      <bottom style="medium">
        <color auto="1"/>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auto="1"/>
      </left>
      <right style="medium">
        <color auto="1"/>
      </right>
      <top style="medium">
        <color auto="1"/>
      </top>
      <bottom style="medium">
        <color theme="0"/>
      </bottom>
      <diagonal/>
    </border>
    <border>
      <left style="medium">
        <color auto="1"/>
      </left>
      <right style="thin">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theme="0"/>
      </left>
      <right style="medium">
        <color theme="0"/>
      </right>
      <top/>
      <bottom style="medium">
        <color theme="0"/>
      </bottom>
      <diagonal/>
    </border>
    <border>
      <left style="medium">
        <color auto="1"/>
      </left>
      <right style="medium">
        <color auto="1"/>
      </right>
      <top style="medium">
        <color theme="0"/>
      </top>
      <bottom/>
      <diagonal/>
    </border>
    <border>
      <left style="thin">
        <color auto="1"/>
      </left>
      <right/>
      <top style="medium">
        <color auto="1"/>
      </top>
      <bottom style="medium">
        <color auto="1"/>
      </bottom>
      <diagonal/>
    </border>
    <border>
      <left style="medium">
        <color theme="0"/>
      </left>
      <right style="medium">
        <color theme="0"/>
      </right>
      <top style="medium">
        <color theme="0"/>
      </top>
      <bottom/>
      <diagonal/>
    </border>
    <border>
      <left/>
      <right/>
      <top style="medium">
        <color theme="0"/>
      </top>
      <bottom/>
      <diagonal/>
    </border>
    <border>
      <left/>
      <right style="medium">
        <color theme="0"/>
      </right>
      <top style="medium">
        <color theme="0"/>
      </top>
      <bottom/>
      <diagonal/>
    </border>
    <border>
      <left/>
      <right/>
      <top/>
      <bottom style="medium">
        <color theme="0"/>
      </bottom>
      <diagonal/>
    </border>
    <border>
      <left/>
      <right style="medium">
        <color theme="0"/>
      </right>
      <top/>
      <bottom style="medium">
        <color theme="0"/>
      </bottom>
      <diagonal/>
    </border>
    <border>
      <left style="medium">
        <color theme="0"/>
      </left>
      <right/>
      <top/>
      <bottom style="medium">
        <color theme="0"/>
      </bottom>
      <diagonal/>
    </border>
  </borders>
  <cellStyleXfs count="1039">
    <xf numFmtId="0" fontId="0" fillId="0" borderId="0"/>
    <xf numFmtId="0" fontId="1" fillId="2" borderId="0" applyNumberFormat="0" applyBorder="0" applyAlignment="0" applyProtection="0"/>
    <xf numFmtId="0" fontId="1" fillId="2" borderId="0" applyNumberFormat="0" applyBorder="0" applyAlignment="0" applyProtection="0"/>
    <xf numFmtId="0" fontId="26" fillId="3"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77"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26" fillId="6"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77"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26"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77"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6" fillId="1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77"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26" fillId="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77" fillId="14"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6" fillId="6"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77" fillId="16"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26" fillId="17"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77" fillId="18"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6" fillId="20"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77" fillId="2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26"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77" fillId="23"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6" fillId="1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77" fillId="24"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26" fillId="17"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77"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26" fillId="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77" fillId="27"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27" fillId="17"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72" fillId="2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27" fillId="30"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72" fillId="31"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27"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72" fillId="32" borderId="0" applyNumberFormat="0" applyBorder="0" applyAlignment="0" applyProtection="0"/>
    <xf numFmtId="0" fontId="8" fillId="33" borderId="0" applyNumberFormat="0" applyBorder="0" applyAlignment="0" applyProtection="0"/>
    <xf numFmtId="0" fontId="8" fillId="33" borderId="0" applyNumberFormat="0" applyBorder="0" applyAlignment="0" applyProtection="0"/>
    <xf numFmtId="0" fontId="27" fillId="34" borderId="0" applyNumberFormat="0" applyBorder="0" applyAlignment="0" applyProtection="0"/>
    <xf numFmtId="0" fontId="8" fillId="33" borderId="0" applyNumberFormat="0" applyBorder="0" applyAlignment="0" applyProtection="0"/>
    <xf numFmtId="0" fontId="8" fillId="33" borderId="0" applyNumberFormat="0" applyBorder="0" applyAlignment="0" applyProtection="0"/>
    <xf numFmtId="0" fontId="72" fillId="35"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27" fillId="17"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72" fillId="37"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27" fillId="20"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72" fillId="39" borderId="0" applyNumberFormat="0" applyBorder="0" applyAlignment="0" applyProtection="0"/>
    <xf numFmtId="0" fontId="72" fillId="29" borderId="0" applyNumberFormat="0" applyBorder="0" applyAlignment="0" applyProtection="0"/>
    <xf numFmtId="0" fontId="72" fillId="29" borderId="0" applyNumberFormat="0" applyBorder="0" applyAlignment="0" applyProtection="0"/>
    <xf numFmtId="0" fontId="72" fillId="31" borderId="0" applyNumberFormat="0" applyBorder="0" applyAlignment="0" applyProtection="0"/>
    <xf numFmtId="0" fontId="72" fillId="31" borderId="0" applyNumberFormat="0" applyBorder="0" applyAlignment="0" applyProtection="0"/>
    <xf numFmtId="0" fontId="72" fillId="32" borderId="0" applyNumberFormat="0" applyBorder="0" applyAlignment="0" applyProtection="0"/>
    <xf numFmtId="0" fontId="72" fillId="32" borderId="0" applyNumberFormat="0" applyBorder="0" applyAlignment="0" applyProtection="0"/>
    <xf numFmtId="0" fontId="72" fillId="35" borderId="0" applyNumberFormat="0" applyBorder="0" applyAlignment="0" applyProtection="0"/>
    <xf numFmtId="0" fontId="72" fillId="35" borderId="0" applyNumberFormat="0" applyBorder="0" applyAlignment="0" applyProtection="0"/>
    <xf numFmtId="0" fontId="72" fillId="37" borderId="0" applyNumberFormat="0" applyBorder="0" applyAlignment="0" applyProtection="0"/>
    <xf numFmtId="0" fontId="72" fillId="37" borderId="0" applyNumberFormat="0" applyBorder="0" applyAlignment="0" applyProtection="0"/>
    <xf numFmtId="0" fontId="72" fillId="39" borderId="0" applyNumberFormat="0" applyBorder="0" applyAlignment="0" applyProtection="0"/>
    <xf numFmtId="0" fontId="72" fillId="39"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27" fillId="40"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72" fillId="41"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27" fillId="30"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72" fillId="43"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27"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72" fillId="45" borderId="0" applyNumberFormat="0" applyBorder="0" applyAlignment="0" applyProtection="0"/>
    <xf numFmtId="0" fontId="8" fillId="33" borderId="0" applyNumberFormat="0" applyBorder="0" applyAlignment="0" applyProtection="0"/>
    <xf numFmtId="0" fontId="8" fillId="33" borderId="0" applyNumberFormat="0" applyBorder="0" applyAlignment="0" applyProtection="0"/>
    <xf numFmtId="0" fontId="27" fillId="34" borderId="0" applyNumberFormat="0" applyBorder="0" applyAlignment="0" applyProtection="0"/>
    <xf numFmtId="0" fontId="8" fillId="33" borderId="0" applyNumberFormat="0" applyBorder="0" applyAlignment="0" applyProtection="0"/>
    <xf numFmtId="0" fontId="8" fillId="33" borderId="0" applyNumberFormat="0" applyBorder="0" applyAlignment="0" applyProtection="0"/>
    <xf numFmtId="0" fontId="72" fillId="4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27"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72" fillId="47"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27" fillId="49"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72" fillId="50" borderId="0" applyNumberFormat="0" applyBorder="0" applyAlignment="0" applyProtection="0"/>
    <xf numFmtId="0" fontId="21" fillId="5" borderId="0" applyNumberFormat="0" applyBorder="0" applyAlignment="0" applyProtection="0"/>
    <xf numFmtId="0" fontId="21" fillId="5" borderId="0" applyNumberFormat="0" applyBorder="0" applyAlignment="0" applyProtection="0"/>
    <xf numFmtId="0" fontId="28" fillId="5" borderId="0" applyNumberFormat="0" applyBorder="0" applyAlignment="0" applyProtection="0"/>
    <xf numFmtId="0" fontId="21" fillId="5" borderId="0" applyNumberFormat="0" applyBorder="0" applyAlignment="0" applyProtection="0"/>
    <xf numFmtId="0" fontId="21" fillId="5" borderId="0" applyNumberFormat="0" applyBorder="0" applyAlignment="0" applyProtection="0"/>
    <xf numFmtId="0" fontId="57" fillId="51" borderId="0" applyNumberFormat="0" applyBorder="0" applyAlignment="0" applyProtection="0"/>
    <xf numFmtId="0" fontId="44" fillId="52" borderId="0"/>
    <xf numFmtId="0" fontId="9" fillId="53" borderId="1" applyNumberFormat="0" applyAlignment="0" applyProtection="0"/>
    <xf numFmtId="0" fontId="9" fillId="53" borderId="1" applyNumberFormat="0" applyAlignment="0" applyProtection="0"/>
    <xf numFmtId="0" fontId="29" fillId="53" borderId="1" applyNumberFormat="0" applyAlignment="0" applyProtection="0"/>
    <xf numFmtId="0" fontId="9" fillId="53" borderId="1" applyNumberFormat="0" applyAlignment="0" applyProtection="0"/>
    <xf numFmtId="0" fontId="9" fillId="53" borderId="1" applyNumberFormat="0" applyAlignment="0" applyProtection="0"/>
    <xf numFmtId="0" fontId="69" fillId="54" borderId="2" applyNumberFormat="0" applyAlignment="0" applyProtection="0"/>
    <xf numFmtId="0" fontId="22" fillId="11" borderId="3" applyNumberFormat="0" applyAlignment="0" applyProtection="0"/>
    <xf numFmtId="0" fontId="22" fillId="11" borderId="3" applyNumberFormat="0" applyAlignment="0" applyProtection="0"/>
    <xf numFmtId="0" fontId="30" fillId="55" borderId="4" applyNumberFormat="0" applyAlignment="0" applyProtection="0"/>
    <xf numFmtId="0" fontId="22" fillId="11" borderId="3" applyNumberFormat="0" applyAlignment="0" applyProtection="0"/>
    <xf numFmtId="0" fontId="22" fillId="11" borderId="3" applyNumberFormat="0" applyAlignment="0" applyProtection="0"/>
    <xf numFmtId="0" fontId="56" fillId="56" borderId="5" applyNumberFormat="0" applyAlignment="0" applyProtection="0"/>
    <xf numFmtId="43" fontId="77" fillId="0" borderId="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4" fillId="0" borderId="0" applyFont="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4" fillId="0" borderId="0" applyFont="0" applyFill="0" applyBorder="0" applyAlignment="0" applyProtection="0"/>
    <xf numFmtId="43" fontId="73" fillId="0" borderId="0" applyFill="0" applyBorder="0" applyAlignment="0" applyProtection="0"/>
    <xf numFmtId="43" fontId="73" fillId="0" borderId="0" applyFill="0" applyBorder="0" applyAlignment="0" applyProtection="0"/>
    <xf numFmtId="43" fontId="77"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7" fillId="0" borderId="0" applyFill="0" applyBorder="0" applyAlignment="0" applyProtection="0"/>
    <xf numFmtId="43" fontId="73" fillId="0" borderId="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77" fillId="0" borderId="0" applyFill="0" applyBorder="0" applyAlignment="0" applyProtection="0"/>
    <xf numFmtId="43" fontId="1" fillId="0" borderId="0" applyFont="0" applyFill="0" applyBorder="0" applyAlignment="0" applyProtection="0"/>
    <xf numFmtId="43" fontId="77"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7"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7"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77" fillId="0" borderId="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77" fillId="0" borderId="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31"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66" fillId="0" borderId="0" applyNumberFormat="0" applyFill="0" applyBorder="0" applyAlignment="0" applyProtection="0"/>
    <xf numFmtId="0" fontId="10" fillId="8" borderId="0" applyNumberFormat="0" applyBorder="0" applyAlignment="0" applyProtection="0"/>
    <xf numFmtId="0" fontId="10" fillId="8" borderId="0" applyNumberFormat="0" applyBorder="0" applyAlignment="0" applyProtection="0"/>
    <xf numFmtId="0" fontId="32" fillId="22"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68" fillId="57" borderId="0" applyNumberFormat="0" applyBorder="0" applyAlignment="0" applyProtection="0"/>
    <xf numFmtId="0" fontId="14" fillId="0" borderId="6" applyNumberFormat="0" applyFill="0" applyAlignment="0" applyProtection="0"/>
    <xf numFmtId="0" fontId="14" fillId="0" borderId="6" applyNumberFormat="0" applyFill="0" applyAlignment="0" applyProtection="0"/>
    <xf numFmtId="0" fontId="33" fillId="0" borderId="7"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65" fillId="0" borderId="8" applyNumberFormat="0" applyFill="0" applyAlignment="0" applyProtection="0"/>
    <xf numFmtId="0" fontId="15" fillId="0" borderId="9" applyNumberFormat="0" applyFill="0" applyAlignment="0" applyProtection="0"/>
    <xf numFmtId="0" fontId="15" fillId="0" borderId="9" applyNumberFormat="0" applyFill="0" applyAlignment="0" applyProtection="0"/>
    <xf numFmtId="0" fontId="34" fillId="0" borderId="10" applyNumberFormat="0" applyFill="0" applyAlignment="0" applyProtection="0"/>
    <xf numFmtId="0" fontId="15" fillId="0" borderId="9" applyNumberFormat="0" applyFill="0" applyAlignment="0" applyProtection="0"/>
    <xf numFmtId="0" fontId="15" fillId="0" borderId="9" applyNumberFormat="0" applyFill="0" applyAlignment="0" applyProtection="0"/>
    <xf numFmtId="0" fontId="64" fillId="0" borderId="11" applyNumberFormat="0" applyFill="0" applyAlignment="0" applyProtection="0"/>
    <xf numFmtId="0" fontId="16" fillId="0" borderId="12" applyNumberFormat="0" applyFill="0" applyAlignment="0" applyProtection="0"/>
    <xf numFmtId="0" fontId="16" fillId="0" borderId="12" applyNumberFormat="0" applyFill="0" applyAlignment="0" applyProtection="0"/>
    <xf numFmtId="0" fontId="35" fillId="0" borderId="13" applyNumberFormat="0" applyFill="0" applyAlignment="0" applyProtection="0"/>
    <xf numFmtId="0" fontId="16" fillId="0" borderId="12" applyNumberFormat="0" applyFill="0" applyAlignment="0" applyProtection="0"/>
    <xf numFmtId="0" fontId="16" fillId="0" borderId="12" applyNumberFormat="0" applyFill="0" applyAlignment="0" applyProtection="0"/>
    <xf numFmtId="0" fontId="63" fillId="0" borderId="14"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35"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63" fillId="0" borderId="0" applyNumberFormat="0" applyFill="0" applyBorder="0" applyAlignment="0" applyProtection="0"/>
    <xf numFmtId="0" fontId="36" fillId="0" borderId="0" applyNumberFormat="0" applyFill="0" applyBorder="0" applyAlignment="0" applyProtection="0"/>
    <xf numFmtId="0" fontId="20" fillId="15" borderId="1" applyNumberFormat="0" applyAlignment="0" applyProtection="0"/>
    <xf numFmtId="0" fontId="20" fillId="15" borderId="1" applyNumberFormat="0" applyAlignment="0" applyProtection="0"/>
    <xf numFmtId="0" fontId="37" fillId="15" borderId="1" applyNumberFormat="0" applyAlignment="0" applyProtection="0"/>
    <xf numFmtId="0" fontId="20" fillId="15" borderId="1" applyNumberFormat="0" applyAlignment="0" applyProtection="0"/>
    <xf numFmtId="0" fontId="20" fillId="15" borderId="1" applyNumberFormat="0" applyAlignment="0" applyProtection="0"/>
    <xf numFmtId="0" fontId="58" fillId="58" borderId="2" applyNumberFormat="0" applyAlignment="0" applyProtection="0"/>
    <xf numFmtId="0" fontId="23" fillId="0" borderId="15" applyNumberFormat="0" applyFill="0" applyAlignment="0" applyProtection="0"/>
    <xf numFmtId="0" fontId="23" fillId="0" borderId="15" applyNumberFormat="0" applyFill="0" applyAlignment="0" applyProtection="0"/>
    <xf numFmtId="0" fontId="38" fillId="0" borderId="16" applyNumberFormat="0" applyFill="0" applyAlignment="0" applyProtection="0"/>
    <xf numFmtId="0" fontId="23" fillId="0" borderId="15" applyNumberFormat="0" applyFill="0" applyAlignment="0" applyProtection="0"/>
    <xf numFmtId="0" fontId="23" fillId="0" borderId="15" applyNumberFormat="0" applyFill="0" applyAlignment="0" applyProtection="0"/>
    <xf numFmtId="0" fontId="55" fillId="0" borderId="17" applyNumberFormat="0" applyFill="0" applyAlignment="0" applyProtection="0"/>
    <xf numFmtId="0" fontId="17" fillId="59" borderId="0" applyNumberFormat="0" applyBorder="0" applyAlignment="0" applyProtection="0"/>
    <xf numFmtId="0" fontId="17" fillId="59" borderId="0" applyNumberFormat="0" applyBorder="0" applyAlignment="0" applyProtection="0"/>
    <xf numFmtId="0" fontId="39" fillId="15"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60" fillId="60" borderId="0" applyNumberFormat="0" applyBorder="0" applyAlignment="0" applyProtection="0"/>
    <xf numFmtId="0" fontId="73" fillId="0" borderId="0"/>
    <xf numFmtId="0" fontId="73" fillId="0" borderId="0"/>
    <xf numFmtId="0" fontId="73" fillId="0" borderId="0"/>
    <xf numFmtId="0" fontId="73" fillId="0" borderId="0"/>
    <xf numFmtId="0" fontId="4" fillId="0" borderId="0"/>
    <xf numFmtId="0" fontId="77" fillId="0" borderId="0"/>
    <xf numFmtId="0" fontId="73" fillId="0" borderId="0"/>
    <xf numFmtId="0" fontId="77" fillId="0" borderId="0"/>
    <xf numFmtId="0" fontId="73" fillId="0" borderId="0"/>
    <xf numFmtId="0" fontId="73" fillId="0" borderId="0"/>
    <xf numFmtId="0" fontId="73" fillId="0" borderId="0"/>
    <xf numFmtId="0" fontId="73" fillId="0" borderId="0"/>
    <xf numFmtId="0" fontId="4" fillId="0" borderId="0"/>
    <xf numFmtId="0" fontId="73" fillId="0" borderId="0"/>
    <xf numFmtId="0" fontId="77" fillId="0" borderId="0"/>
    <xf numFmtId="0" fontId="73" fillId="0" borderId="0"/>
    <xf numFmtId="0" fontId="73" fillId="0" borderId="0"/>
    <xf numFmtId="0" fontId="77" fillId="0" borderId="0"/>
    <xf numFmtId="0" fontId="77" fillId="0" borderId="0"/>
    <xf numFmtId="0" fontId="77" fillId="0" borderId="0"/>
    <xf numFmtId="0" fontId="4" fillId="0" borderId="0"/>
    <xf numFmtId="0" fontId="77" fillId="0" borderId="0"/>
    <xf numFmtId="0" fontId="4" fillId="0" borderId="0"/>
    <xf numFmtId="0" fontId="4" fillId="0" borderId="0"/>
    <xf numFmtId="0" fontId="4" fillId="0" borderId="0"/>
    <xf numFmtId="0" fontId="77" fillId="0" borderId="0"/>
    <xf numFmtId="0" fontId="4" fillId="0" borderId="0"/>
    <xf numFmtId="0" fontId="77" fillId="0" borderId="0"/>
    <xf numFmtId="0" fontId="77" fillId="0" borderId="0"/>
    <xf numFmtId="0" fontId="77" fillId="0" borderId="0"/>
    <xf numFmtId="0" fontId="77" fillId="0" borderId="0"/>
    <xf numFmtId="0" fontId="77" fillId="0" borderId="0"/>
    <xf numFmtId="0" fontId="4" fillId="0" borderId="0"/>
    <xf numFmtId="0" fontId="4" fillId="0" borderId="0"/>
    <xf numFmtId="0" fontId="4" fillId="0" borderId="0"/>
    <xf numFmtId="0" fontId="4" fillId="0" borderId="0"/>
    <xf numFmtId="0" fontId="73" fillId="0" borderId="0"/>
    <xf numFmtId="0" fontId="73" fillId="0" borderId="0"/>
    <xf numFmtId="0" fontId="24" fillId="0" borderId="0"/>
    <xf numFmtId="0" fontId="76" fillId="0" borderId="0"/>
    <xf numFmtId="0" fontId="77" fillId="0" borderId="0"/>
    <xf numFmtId="0" fontId="77" fillId="0" borderId="0"/>
    <xf numFmtId="0" fontId="4" fillId="0" borderId="0"/>
    <xf numFmtId="0" fontId="76" fillId="0" borderId="0"/>
    <xf numFmtId="0" fontId="77" fillId="0" borderId="0"/>
    <xf numFmtId="0" fontId="73" fillId="0" borderId="0"/>
    <xf numFmtId="0" fontId="73" fillId="0" borderId="0"/>
    <xf numFmtId="0" fontId="73" fillId="0" borderId="0"/>
    <xf numFmtId="0" fontId="76" fillId="0" borderId="0"/>
    <xf numFmtId="0" fontId="77" fillId="0" borderId="0"/>
    <xf numFmtId="0" fontId="4" fillId="0" borderId="0"/>
    <xf numFmtId="0" fontId="76" fillId="0" borderId="0"/>
    <xf numFmtId="0" fontId="77" fillId="0" borderId="0"/>
    <xf numFmtId="0" fontId="76" fillId="0" borderId="0"/>
    <xf numFmtId="0" fontId="77" fillId="0" borderId="0"/>
    <xf numFmtId="0" fontId="4" fillId="0" borderId="0"/>
    <xf numFmtId="0" fontId="77" fillId="0" borderId="0"/>
    <xf numFmtId="0" fontId="24" fillId="0" borderId="0"/>
    <xf numFmtId="0" fontId="77" fillId="0" borderId="0"/>
    <xf numFmtId="0" fontId="73" fillId="0" borderId="0"/>
    <xf numFmtId="0" fontId="73" fillId="0" borderId="0"/>
    <xf numFmtId="0" fontId="24" fillId="0" borderId="0"/>
    <xf numFmtId="0" fontId="25" fillId="0" borderId="0"/>
    <xf numFmtId="0" fontId="77" fillId="0" borderId="0"/>
    <xf numFmtId="0" fontId="77" fillId="0" borderId="0"/>
    <xf numFmtId="0" fontId="4" fillId="0" borderId="0"/>
    <xf numFmtId="0" fontId="77" fillId="0" borderId="0"/>
    <xf numFmtId="0" fontId="25" fillId="0" borderId="0"/>
    <xf numFmtId="0" fontId="77" fillId="0" borderId="0"/>
    <xf numFmtId="0" fontId="74" fillId="0" borderId="0"/>
    <xf numFmtId="0" fontId="74" fillId="0" borderId="0"/>
    <xf numFmtId="0" fontId="25" fillId="0" borderId="0"/>
    <xf numFmtId="0" fontId="4" fillId="0" borderId="0"/>
    <xf numFmtId="0" fontId="4" fillId="0" borderId="0"/>
    <xf numFmtId="0" fontId="75" fillId="0" borderId="0"/>
    <xf numFmtId="0" fontId="75" fillId="0" borderId="0"/>
    <xf numFmtId="0" fontId="77" fillId="0" borderId="0"/>
    <xf numFmtId="0" fontId="77" fillId="0" borderId="0"/>
    <xf numFmtId="0" fontId="4" fillId="0" borderId="0"/>
    <xf numFmtId="0" fontId="77" fillId="0" borderId="0"/>
    <xf numFmtId="0" fontId="77" fillId="0" borderId="0"/>
    <xf numFmtId="0" fontId="77" fillId="0" borderId="0"/>
    <xf numFmtId="0" fontId="4" fillId="0" borderId="0"/>
    <xf numFmtId="0" fontId="77" fillId="0" borderId="0"/>
    <xf numFmtId="0" fontId="77" fillId="0" borderId="0"/>
    <xf numFmtId="0" fontId="77" fillId="0" borderId="0"/>
    <xf numFmtId="0" fontId="77" fillId="0" borderId="0"/>
    <xf numFmtId="0" fontId="4" fillId="0" borderId="0"/>
    <xf numFmtId="0" fontId="77" fillId="0" borderId="0"/>
    <xf numFmtId="0" fontId="77" fillId="0" borderId="0"/>
    <xf numFmtId="0" fontId="77" fillId="0" borderId="0"/>
    <xf numFmtId="0" fontId="77" fillId="0" borderId="0"/>
    <xf numFmtId="0" fontId="4" fillId="0" borderId="0"/>
    <xf numFmtId="0" fontId="25" fillId="0" borderId="0"/>
    <xf numFmtId="0" fontId="25" fillId="0" borderId="0"/>
    <xf numFmtId="0" fontId="74" fillId="0" borderId="0"/>
    <xf numFmtId="0" fontId="25" fillId="0" borderId="0"/>
    <xf numFmtId="0" fontId="73" fillId="0" borderId="0"/>
    <xf numFmtId="0" fontId="73" fillId="0" borderId="0"/>
    <xf numFmtId="0" fontId="4" fillId="0" borderId="0"/>
    <xf numFmtId="0" fontId="77" fillId="0" borderId="0"/>
    <xf numFmtId="0" fontId="73" fillId="0" borderId="0"/>
    <xf numFmtId="0" fontId="74" fillId="0" borderId="0"/>
    <xf numFmtId="0" fontId="74" fillId="0" borderId="0"/>
    <xf numFmtId="0" fontId="77" fillId="0" borderId="0"/>
    <xf numFmtId="0" fontId="4" fillId="0" borderId="0"/>
    <xf numFmtId="0" fontId="73" fillId="0" borderId="0"/>
    <xf numFmtId="0" fontId="73" fillId="0" borderId="0"/>
    <xf numFmtId="0" fontId="73" fillId="0" borderId="0"/>
    <xf numFmtId="0" fontId="73" fillId="0" borderId="0"/>
    <xf numFmtId="0" fontId="77" fillId="0" borderId="0"/>
    <xf numFmtId="0" fontId="77" fillId="0" borderId="0"/>
    <xf numFmtId="0" fontId="4" fillId="0" borderId="0"/>
    <xf numFmtId="0" fontId="77" fillId="0" borderId="0"/>
    <xf numFmtId="0" fontId="25" fillId="0" borderId="0"/>
    <xf numFmtId="0" fontId="73" fillId="0" borderId="0"/>
    <xf numFmtId="0" fontId="77" fillId="0" borderId="0"/>
    <xf numFmtId="0" fontId="77" fillId="0" borderId="0"/>
    <xf numFmtId="0" fontId="77" fillId="0" borderId="0"/>
    <xf numFmtId="0" fontId="73" fillId="0" borderId="0"/>
    <xf numFmtId="0" fontId="73" fillId="0" borderId="0"/>
    <xf numFmtId="0" fontId="73" fillId="0" borderId="0"/>
    <xf numFmtId="0" fontId="24" fillId="0" borderId="0"/>
    <xf numFmtId="0" fontId="73" fillId="0" borderId="0"/>
    <xf numFmtId="0" fontId="24" fillId="0" borderId="0"/>
    <xf numFmtId="0" fontId="77" fillId="0" borderId="0"/>
    <xf numFmtId="0" fontId="73" fillId="0" borderId="0"/>
    <xf numFmtId="0" fontId="73" fillId="0" borderId="0"/>
    <xf numFmtId="0" fontId="73" fillId="0" borderId="0"/>
    <xf numFmtId="0" fontId="77" fillId="0" borderId="0"/>
    <xf numFmtId="0" fontId="73" fillId="0" borderId="0"/>
    <xf numFmtId="0" fontId="73" fillId="0" borderId="0"/>
    <xf numFmtId="0" fontId="4" fillId="0" borderId="0"/>
    <xf numFmtId="0" fontId="73" fillId="0" borderId="0"/>
    <xf numFmtId="0" fontId="73" fillId="0" borderId="0"/>
    <xf numFmtId="0" fontId="73" fillId="0" borderId="0"/>
    <xf numFmtId="0" fontId="73" fillId="0" borderId="0"/>
    <xf numFmtId="0" fontId="24" fillId="0" borderId="0"/>
    <xf numFmtId="0" fontId="73" fillId="0" borderId="0"/>
    <xf numFmtId="0" fontId="73" fillId="0" borderId="0"/>
    <xf numFmtId="0" fontId="73" fillId="0" borderId="0"/>
    <xf numFmtId="0" fontId="73" fillId="0" borderId="0"/>
    <xf numFmtId="0" fontId="73" fillId="0" borderId="0"/>
    <xf numFmtId="0" fontId="73" fillId="0" borderId="0"/>
    <xf numFmtId="0" fontId="77" fillId="0" borderId="0"/>
    <xf numFmtId="0" fontId="73" fillId="0" borderId="0"/>
    <xf numFmtId="0" fontId="4" fillId="0" borderId="0"/>
    <xf numFmtId="0" fontId="77" fillId="0" borderId="0"/>
    <xf numFmtId="0" fontId="77" fillId="0" borderId="0"/>
    <xf numFmtId="0" fontId="77" fillId="0" borderId="0"/>
    <xf numFmtId="164" fontId="4" fillId="0" borderId="0"/>
    <xf numFmtId="0" fontId="77" fillId="0" borderId="0"/>
    <xf numFmtId="0" fontId="77" fillId="0" borderId="0"/>
    <xf numFmtId="0" fontId="4" fillId="0" borderId="0"/>
    <xf numFmtId="0" fontId="77" fillId="0" borderId="0"/>
    <xf numFmtId="0" fontId="4" fillId="0" borderId="0"/>
    <xf numFmtId="0" fontId="4" fillId="0" borderId="0"/>
    <xf numFmtId="0" fontId="4" fillId="0" borderId="0"/>
    <xf numFmtId="0" fontId="4" fillId="0" borderId="0"/>
    <xf numFmtId="0" fontId="4" fillId="0" borderId="0"/>
    <xf numFmtId="164" fontId="4" fillId="0" borderId="0"/>
    <xf numFmtId="0" fontId="77" fillId="0" borderId="0"/>
    <xf numFmtId="0" fontId="77" fillId="0" borderId="0"/>
    <xf numFmtId="0" fontId="73" fillId="0" borderId="0"/>
    <xf numFmtId="0" fontId="4" fillId="0" borderId="0"/>
    <xf numFmtId="0" fontId="73" fillId="0" borderId="0"/>
    <xf numFmtId="0" fontId="73" fillId="0" borderId="0"/>
    <xf numFmtId="0" fontId="73" fillId="0" borderId="0"/>
    <xf numFmtId="0" fontId="4" fillId="0" borderId="0"/>
    <xf numFmtId="0" fontId="73" fillId="0" borderId="0"/>
    <xf numFmtId="0" fontId="73" fillId="0" borderId="0"/>
    <xf numFmtId="0" fontId="4" fillId="0" borderId="0"/>
    <xf numFmtId="0" fontId="73" fillId="0" borderId="0"/>
    <xf numFmtId="0" fontId="73" fillId="0" borderId="0"/>
    <xf numFmtId="0" fontId="73" fillId="0" borderId="0"/>
    <xf numFmtId="0" fontId="4" fillId="0" borderId="0"/>
    <xf numFmtId="0" fontId="73" fillId="0" borderId="0"/>
    <xf numFmtId="0" fontId="73" fillId="0" borderId="0"/>
    <xf numFmtId="0" fontId="77" fillId="0" borderId="0"/>
    <xf numFmtId="0" fontId="4" fillId="0" borderId="0"/>
    <xf numFmtId="0" fontId="77" fillId="0" borderId="0"/>
    <xf numFmtId="0" fontId="24"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4" fillId="0" borderId="0"/>
    <xf numFmtId="0" fontId="4" fillId="0" borderId="0"/>
    <xf numFmtId="0" fontId="4" fillId="0" borderId="0"/>
    <xf numFmtId="0" fontId="4" fillId="0" borderId="0"/>
    <xf numFmtId="0" fontId="4" fillId="0" borderId="0"/>
    <xf numFmtId="0" fontId="4" fillId="0" borderId="0"/>
    <xf numFmtId="0" fontId="73" fillId="0" borderId="0"/>
    <xf numFmtId="0" fontId="4" fillId="0" borderId="0"/>
    <xf numFmtId="0" fontId="77" fillId="0" borderId="0"/>
    <xf numFmtId="0" fontId="24" fillId="0" borderId="0"/>
    <xf numFmtId="0" fontId="73" fillId="0" borderId="0"/>
    <xf numFmtId="0" fontId="24" fillId="0" borderId="0"/>
    <xf numFmtId="0" fontId="4" fillId="0" borderId="0"/>
    <xf numFmtId="0" fontId="77" fillId="0" borderId="0"/>
    <xf numFmtId="0" fontId="77" fillId="0" borderId="0"/>
    <xf numFmtId="0" fontId="4" fillId="0" borderId="0"/>
    <xf numFmtId="0" fontId="4" fillId="0" borderId="0"/>
    <xf numFmtId="0" fontId="77" fillId="0" borderId="0"/>
    <xf numFmtId="0" fontId="4" fillId="0" borderId="0"/>
    <xf numFmtId="0" fontId="4" fillId="0" borderId="0"/>
    <xf numFmtId="0" fontId="4" fillId="0" borderId="0"/>
    <xf numFmtId="0" fontId="4" fillId="0" borderId="0"/>
    <xf numFmtId="0" fontId="77" fillId="0" borderId="0"/>
    <xf numFmtId="0" fontId="4" fillId="0" borderId="0"/>
    <xf numFmtId="0" fontId="4" fillId="0" borderId="0"/>
    <xf numFmtId="0" fontId="4" fillId="0" borderId="0"/>
    <xf numFmtId="0" fontId="77" fillId="0" borderId="0"/>
    <xf numFmtId="0" fontId="77" fillId="0" borderId="0"/>
    <xf numFmtId="0" fontId="4" fillId="0" borderId="0"/>
    <xf numFmtId="0" fontId="1" fillId="61" borderId="18" applyNumberFormat="0" applyFont="0" applyAlignment="0" applyProtection="0"/>
    <xf numFmtId="0" fontId="1" fillId="61" borderId="18" applyNumberFormat="0" applyFont="0" applyAlignment="0" applyProtection="0"/>
    <xf numFmtId="0" fontId="4" fillId="61" borderId="19" applyNumberFormat="0" applyFont="0" applyAlignment="0" applyProtection="0"/>
    <xf numFmtId="0" fontId="1" fillId="61" borderId="18" applyNumberFormat="0" applyFont="0" applyAlignment="0" applyProtection="0"/>
    <xf numFmtId="0" fontId="1" fillId="61" borderId="18" applyNumberFormat="0" applyFont="0" applyAlignment="0" applyProtection="0"/>
    <xf numFmtId="0" fontId="77" fillId="62" borderId="20" applyNumberFormat="0" applyAlignment="0" applyProtection="0"/>
    <xf numFmtId="0" fontId="19" fillId="53" borderId="21" applyNumberFormat="0" applyAlignment="0" applyProtection="0"/>
    <xf numFmtId="0" fontId="19" fillId="53" borderId="21" applyNumberFormat="0" applyAlignment="0" applyProtection="0"/>
    <xf numFmtId="0" fontId="40" fillId="53" borderId="1" applyNumberFormat="0" applyAlignment="0" applyProtection="0"/>
    <xf numFmtId="0" fontId="19" fillId="53" borderId="21" applyNumberFormat="0" applyAlignment="0" applyProtection="0"/>
    <xf numFmtId="0" fontId="19" fillId="53" borderId="21" applyNumberFormat="0" applyAlignment="0" applyProtection="0"/>
    <xf numFmtId="0" fontId="59" fillId="54" borderId="22" applyNumberFormat="0" applyAlignment="0" applyProtection="0"/>
    <xf numFmtId="9" fontId="77" fillId="0" borderId="0" applyFill="0" applyBorder="0" applyAlignment="0" applyProtection="0"/>
    <xf numFmtId="9" fontId="77" fillId="0" borderId="0" applyFill="0" applyBorder="0" applyAlignment="0" applyProtection="0"/>
    <xf numFmtId="9" fontId="77" fillId="0" borderId="0" applyFill="0" applyBorder="0" applyAlignment="0" applyProtection="0"/>
    <xf numFmtId="9" fontId="77" fillId="0" borderId="0" applyFill="0" applyBorder="0" applyAlignment="0" applyProtection="0"/>
    <xf numFmtId="9" fontId="77" fillId="0" borderId="0" applyFill="0" applyBorder="0" applyAlignment="0" applyProtection="0"/>
    <xf numFmtId="9" fontId="4" fillId="0" borderId="0" applyFont="0" applyFill="0" applyBorder="0" applyAlignment="0" applyProtection="0"/>
    <xf numFmtId="9" fontId="77" fillId="0" borderId="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3" fillId="0" borderId="0" applyFill="0" applyBorder="0" applyAlignment="0" applyProtection="0"/>
    <xf numFmtId="9" fontId="4" fillId="0" borderId="0" applyFont="0" applyFill="0" applyBorder="0" applyAlignment="0" applyProtection="0"/>
    <xf numFmtId="9" fontId="73" fillId="0" borderId="0" applyFill="0" applyBorder="0" applyAlignment="0" applyProtection="0"/>
    <xf numFmtId="9" fontId="73" fillId="0" borderId="0" applyFill="0" applyBorder="0" applyAlignment="0" applyProtection="0"/>
    <xf numFmtId="9" fontId="4" fillId="0" borderId="0" applyFont="0" applyFill="0" applyBorder="0" applyAlignment="0" applyProtection="0"/>
    <xf numFmtId="9" fontId="73" fillId="0" borderId="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73" fillId="0" borderId="0" applyFill="0" applyBorder="0" applyAlignment="0" applyProtection="0"/>
    <xf numFmtId="9" fontId="25" fillId="0" borderId="0" applyFont="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7" fillId="0" borderId="0" applyFill="0" applyBorder="0" applyAlignment="0" applyProtection="0"/>
    <xf numFmtId="9" fontId="77" fillId="0" borderId="0" applyFill="0" applyBorder="0" applyAlignment="0" applyProtection="0"/>
    <xf numFmtId="9" fontId="4" fillId="0" borderId="0" applyFont="0" applyFill="0" applyBorder="0" applyAlignment="0" applyProtection="0"/>
    <xf numFmtId="9" fontId="73" fillId="0" borderId="0" applyFill="0" applyBorder="0" applyAlignment="0" applyProtection="0"/>
    <xf numFmtId="9" fontId="73" fillId="0" borderId="0" applyFill="0" applyBorder="0" applyAlignment="0" applyProtection="0"/>
    <xf numFmtId="9" fontId="4" fillId="0" borderId="0" applyFont="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4" fillId="0" borderId="0" applyFont="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1" fillId="0" borderId="0" applyFont="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77" fillId="0" borderId="0" applyFill="0" applyBorder="0" applyAlignment="0" applyProtection="0"/>
    <xf numFmtId="9" fontId="73" fillId="0" borderId="0" applyFill="0" applyBorder="0" applyAlignment="0" applyProtection="0"/>
    <xf numFmtId="9" fontId="1" fillId="0" borderId="0" applyFont="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1" fillId="0" borderId="0" applyFont="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1" fillId="0" borderId="0" applyFont="0" applyFill="0" applyBorder="0" applyAlignment="0" applyProtection="0"/>
    <xf numFmtId="9" fontId="77" fillId="0" borderId="0" applyFill="0" applyBorder="0" applyAlignment="0" applyProtection="0"/>
    <xf numFmtId="9" fontId="77" fillId="0" borderId="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1"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62" fillId="0" borderId="0" applyNumberFormat="0" applyFill="0" applyBorder="0" applyAlignment="0" applyProtection="0"/>
    <xf numFmtId="0" fontId="18" fillId="0" borderId="23" applyNumberFormat="0" applyFill="0" applyAlignment="0" applyProtection="0"/>
    <xf numFmtId="0" fontId="18" fillId="0" borderId="23" applyNumberFormat="0" applyFill="0" applyAlignment="0" applyProtection="0"/>
    <xf numFmtId="0" fontId="42" fillId="0" borderId="24" applyNumberFormat="0" applyFill="0" applyAlignment="0" applyProtection="0"/>
    <xf numFmtId="0" fontId="18" fillId="0" borderId="23" applyNumberFormat="0" applyFill="0" applyAlignment="0" applyProtection="0"/>
    <xf numFmtId="0" fontId="18" fillId="0" borderId="23" applyNumberFormat="0" applyFill="0" applyAlignment="0" applyProtection="0"/>
    <xf numFmtId="0" fontId="51" fillId="0" borderId="25" applyNumberFormat="0" applyFill="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43"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67" fillId="0" borderId="0" applyNumberFormat="0" applyFill="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5" borderId="0" applyNumberFormat="0" applyBorder="0" applyAlignment="0" applyProtection="0"/>
    <xf numFmtId="0" fontId="72" fillId="45" borderId="0" applyNumberFormat="0" applyBorder="0" applyAlignment="0" applyProtection="0"/>
    <xf numFmtId="0" fontId="72" fillId="46" borderId="0" applyNumberFormat="0" applyBorder="0" applyAlignment="0" applyProtection="0"/>
    <xf numFmtId="0" fontId="72" fillId="46" borderId="0" applyNumberFormat="0" applyBorder="0" applyAlignment="0" applyProtection="0"/>
    <xf numFmtId="0" fontId="72" fillId="47" borderId="0" applyNumberFormat="0" applyBorder="0" applyAlignment="0" applyProtection="0"/>
    <xf numFmtId="0" fontId="72" fillId="47" borderId="0" applyNumberFormat="0" applyBorder="0" applyAlignment="0" applyProtection="0"/>
    <xf numFmtId="0" fontId="72" fillId="50" borderId="0" applyNumberFormat="0" applyBorder="0" applyAlignment="0" applyProtection="0"/>
    <xf numFmtId="0" fontId="72" fillId="50" borderId="0" applyNumberFormat="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1" fillId="62" borderId="20" applyNumberFormat="0" applyFont="0" applyAlignment="0" applyProtection="0"/>
    <xf numFmtId="0" fontId="1" fillId="62" borderId="20" applyNumberFormat="0" applyFon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1" fillId="62" borderId="20" applyNumberFormat="0" applyFont="0" applyAlignment="0" applyProtection="0"/>
    <xf numFmtId="0" fontId="1" fillId="62" borderId="20" applyNumberFormat="0" applyFont="0" applyAlignment="0" applyProtection="0"/>
    <xf numFmtId="0" fontId="1" fillId="62" borderId="20" applyNumberFormat="0" applyFont="0" applyAlignment="0" applyProtection="0"/>
    <xf numFmtId="0" fontId="77" fillId="62" borderId="20" applyNumberFormat="0" applyAlignment="0" applyProtection="0"/>
    <xf numFmtId="0" fontId="1" fillId="62" borderId="20" applyNumberFormat="0" applyFont="0" applyAlignment="0" applyProtection="0"/>
    <xf numFmtId="0" fontId="1" fillId="62" borderId="20" applyNumberFormat="0" applyFont="0" applyAlignment="0" applyProtection="0"/>
    <xf numFmtId="0" fontId="1" fillId="62" borderId="20" applyNumberFormat="0" applyFon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1" fillId="62" borderId="20" applyNumberFormat="0" applyFont="0" applyAlignment="0" applyProtection="0"/>
    <xf numFmtId="0" fontId="69" fillId="54" borderId="2" applyNumberFormat="0" applyAlignment="0" applyProtection="0"/>
    <xf numFmtId="0" fontId="69" fillId="54" borderId="2" applyNumberFormat="0" applyAlignment="0" applyProtection="0"/>
    <xf numFmtId="0" fontId="68" fillId="57" borderId="0" applyNumberFormat="0" applyBorder="0" applyAlignment="0" applyProtection="0"/>
    <xf numFmtId="0" fontId="68" fillId="57" borderId="0" applyNumberFormat="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2" fillId="0" borderId="0" applyNumberFormat="0" applyFill="0" applyBorder="0" applyAlignment="0" applyProtection="0"/>
    <xf numFmtId="0" fontId="65" fillId="0" borderId="8" applyNumberFormat="0" applyFill="0" applyAlignment="0" applyProtection="0"/>
    <xf numFmtId="0" fontId="65" fillId="0" borderId="8" applyNumberFormat="0" applyFill="0" applyAlignment="0" applyProtection="0"/>
    <xf numFmtId="0" fontId="64" fillId="0" borderId="11" applyNumberFormat="0" applyFill="0" applyAlignment="0" applyProtection="0"/>
    <xf numFmtId="0" fontId="64" fillId="0" borderId="11" applyNumberFormat="0" applyFill="0" applyAlignment="0" applyProtection="0"/>
    <xf numFmtId="0" fontId="63" fillId="0" borderId="14" applyNumberFormat="0" applyFill="0" applyAlignment="0" applyProtection="0"/>
    <xf numFmtId="0" fontId="63" fillId="0" borderId="14"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2" fillId="0" borderId="0" applyNumberFormat="0" applyFill="0" applyBorder="0" applyAlignment="0" applyProtection="0"/>
    <xf numFmtId="0" fontId="61" fillId="0" borderId="0" applyNumberFormat="0" applyFill="0" applyBorder="0" applyAlignment="0" applyProtection="0"/>
    <xf numFmtId="42" fontId="77" fillId="0" borderId="0" applyFill="0" applyBorder="0" applyAlignment="0" applyProtection="0"/>
    <xf numFmtId="0" fontId="60" fillId="60" borderId="0" applyNumberFormat="0" applyBorder="0" applyAlignment="0" applyProtection="0"/>
    <xf numFmtId="0" fontId="60" fillId="60" borderId="0" applyNumberFormat="0" applyBorder="0" applyAlignment="0" applyProtection="0"/>
    <xf numFmtId="0" fontId="51" fillId="0" borderId="25" applyNumberFormat="0" applyFill="0" applyAlignment="0" applyProtection="0"/>
    <xf numFmtId="0" fontId="51" fillId="0" borderId="25" applyNumberFormat="0" applyFill="0" applyAlignment="0" applyProtection="0"/>
    <xf numFmtId="0" fontId="59" fillId="54" borderId="22" applyNumberFormat="0" applyAlignment="0" applyProtection="0"/>
    <xf numFmtId="0" fontId="59" fillId="54" borderId="22" applyNumberFormat="0" applyAlignment="0" applyProtection="0"/>
    <xf numFmtId="41" fontId="77" fillId="0" borderId="0" applyFill="0" applyBorder="0" applyAlignment="0" applyProtection="0"/>
    <xf numFmtId="0" fontId="58" fillId="58" borderId="2" applyNumberFormat="0" applyAlignment="0" applyProtection="0"/>
    <xf numFmtId="0" fontId="58" fillId="58" borderId="2" applyNumberFormat="0" applyAlignment="0" applyProtection="0"/>
    <xf numFmtId="0" fontId="57" fillId="51" borderId="0" applyNumberFormat="0" applyBorder="0" applyAlignment="0" applyProtection="0"/>
    <xf numFmtId="0" fontId="57" fillId="51" borderId="0" applyNumberFormat="0" applyBorder="0" applyAlignment="0" applyProtection="0"/>
    <xf numFmtId="0" fontId="56" fillId="56" borderId="5" applyNumberFormat="0" applyAlignment="0" applyProtection="0"/>
    <xf numFmtId="0" fontId="56" fillId="56" borderId="5" applyNumberFormat="0" applyAlignment="0" applyProtection="0"/>
    <xf numFmtId="0" fontId="55" fillId="0" borderId="17" applyNumberFormat="0" applyFill="0" applyAlignment="0" applyProtection="0"/>
    <xf numFmtId="0" fontId="55" fillId="0" borderId="17" applyNumberFormat="0" applyFill="0" applyAlignment="0" applyProtection="0"/>
  </cellStyleXfs>
  <cellXfs count="140">
    <xf numFmtId="0" fontId="0" fillId="0" borderId="0" xfId="0" applyFont="1" applyAlignment="1"/>
    <xf numFmtId="0" fontId="48" fillId="63" borderId="26" xfId="0" applyFont="1" applyFill="1" applyBorder="1" applyAlignment="1">
      <alignment horizontal="center"/>
    </xf>
    <xf numFmtId="0" fontId="48" fillId="63" borderId="27" xfId="0" applyFont="1" applyFill="1" applyBorder="1" applyAlignment="1">
      <alignment horizontal="center"/>
    </xf>
    <xf numFmtId="0" fontId="0" fillId="0" borderId="28" xfId="0" applyFont="1" applyBorder="1" applyAlignment="1"/>
    <xf numFmtId="0" fontId="0" fillId="0" borderId="0" xfId="0" applyFont="1" applyBorder="1" applyAlignment="1"/>
    <xf numFmtId="0" fontId="0" fillId="0" borderId="29" xfId="0" applyFont="1" applyBorder="1" applyAlignment="1"/>
    <xf numFmtId="0" fontId="3" fillId="64" borderId="30" xfId="0" applyFont="1" applyFill="1" applyBorder="1" applyAlignment="1">
      <alignment vertical="center"/>
    </xf>
    <xf numFmtId="0" fontId="3" fillId="64" borderId="31" xfId="0" applyFont="1" applyFill="1" applyBorder="1" applyAlignment="1">
      <alignment vertical="center"/>
    </xf>
    <xf numFmtId="9" fontId="3" fillId="64" borderId="30" xfId="0" applyNumberFormat="1" applyFont="1" applyFill="1" applyBorder="1" applyAlignment="1">
      <alignment vertical="center"/>
    </xf>
    <xf numFmtId="9" fontId="3" fillId="64" borderId="31" xfId="0" applyNumberFormat="1" applyFont="1" applyFill="1" applyBorder="1" applyAlignment="1">
      <alignment vertical="center"/>
    </xf>
    <xf numFmtId="9" fontId="3" fillId="64" borderId="27" xfId="0" applyNumberFormat="1" applyFont="1" applyFill="1" applyBorder="1" applyAlignment="1"/>
    <xf numFmtId="9" fontId="3" fillId="64" borderId="31" xfId="0" applyNumberFormat="1" applyFont="1" applyFill="1" applyBorder="1" applyAlignment="1"/>
    <xf numFmtId="9" fontId="3" fillId="64" borderId="27" xfId="843" applyFont="1" applyFill="1" applyBorder="1" applyAlignment="1">
      <alignment vertical="center" wrapText="1"/>
    </xf>
    <xf numFmtId="9" fontId="3" fillId="64" borderId="30" xfId="843" applyFont="1" applyFill="1" applyBorder="1" applyAlignment="1">
      <alignment vertical="center" wrapText="1"/>
    </xf>
    <xf numFmtId="9" fontId="3" fillId="64" borderId="31" xfId="843" applyFont="1" applyFill="1" applyBorder="1" applyAlignment="1">
      <alignment vertical="center" wrapText="1"/>
    </xf>
    <xf numFmtId="0" fontId="3" fillId="64" borderId="32" xfId="0" applyFont="1" applyFill="1" applyBorder="1" applyAlignment="1">
      <alignment vertical="center" wrapText="1"/>
    </xf>
    <xf numFmtId="0" fontId="3" fillId="64" borderId="33" xfId="0" applyFont="1" applyFill="1" applyBorder="1" applyAlignment="1">
      <alignment vertical="center" wrapText="1"/>
    </xf>
    <xf numFmtId="0" fontId="3" fillId="64" borderId="34" xfId="0" applyFont="1" applyFill="1" applyBorder="1" applyAlignment="1">
      <alignment vertical="center" wrapText="1"/>
    </xf>
    <xf numFmtId="9" fontId="3" fillId="64" borderId="35" xfId="843" applyFont="1" applyFill="1" applyBorder="1" applyAlignment="1">
      <alignment horizontal="right"/>
    </xf>
    <xf numFmtId="0" fontId="3" fillId="64" borderId="36" xfId="0" applyFont="1" applyFill="1" applyBorder="1" applyAlignment="1">
      <alignment vertical="center" wrapText="1"/>
    </xf>
    <xf numFmtId="9" fontId="3" fillId="64" borderId="30" xfId="843" applyFont="1" applyFill="1" applyBorder="1" applyAlignment="1">
      <alignment horizontal="right"/>
    </xf>
    <xf numFmtId="0" fontId="0" fillId="0" borderId="37" xfId="0" applyFont="1" applyBorder="1" applyAlignment="1"/>
    <xf numFmtId="0" fontId="5" fillId="0" borderId="37" xfId="0" applyFont="1" applyBorder="1" applyAlignment="1"/>
    <xf numFmtId="0" fontId="54" fillId="63" borderId="37" xfId="0" applyFont="1" applyFill="1" applyBorder="1" applyAlignment="1">
      <alignment horizontal="center" vertical="center"/>
    </xf>
    <xf numFmtId="0" fontId="54" fillId="63" borderId="37" xfId="0" applyFont="1" applyFill="1" applyBorder="1" applyAlignment="1">
      <alignment horizontal="center" vertical="center" wrapText="1"/>
    </xf>
    <xf numFmtId="0" fontId="54" fillId="63" borderId="37" xfId="704" applyFont="1" applyFill="1" applyBorder="1" applyAlignment="1">
      <alignment horizontal="center" vertical="center" wrapText="1"/>
    </xf>
    <xf numFmtId="0" fontId="2" fillId="65" borderId="37" xfId="0" applyFont="1" applyFill="1" applyBorder="1" applyAlignment="1"/>
    <xf numFmtId="9" fontId="53" fillId="64" borderId="37" xfId="850" applyNumberFormat="1" applyFont="1" applyFill="1" applyBorder="1" applyAlignment="1">
      <alignment horizontal="center"/>
    </xf>
    <xf numFmtId="9" fontId="3" fillId="64" borderId="37" xfId="0" applyNumberFormat="1" applyFont="1" applyFill="1" applyBorder="1" applyAlignment="1">
      <alignment horizontal="center"/>
    </xf>
    <xf numFmtId="0" fontId="3" fillId="64" borderId="37" xfId="0" applyFont="1" applyFill="1" applyBorder="1" applyAlignment="1">
      <alignment horizontal="center"/>
    </xf>
    <xf numFmtId="2" fontId="3" fillId="64" borderId="37" xfId="0" applyNumberFormat="1" applyFont="1" applyFill="1" applyBorder="1" applyAlignment="1">
      <alignment horizontal="right" wrapText="1"/>
    </xf>
    <xf numFmtId="0" fontId="3" fillId="64" borderId="37" xfId="704" applyFont="1" applyFill="1" applyBorder="1"/>
    <xf numFmtId="0" fontId="3" fillId="64" borderId="37" xfId="0" applyFont="1" applyFill="1" applyBorder="1" applyAlignment="1"/>
    <xf numFmtId="0" fontId="3" fillId="65" borderId="37" xfId="704" applyFont="1" applyFill="1" applyBorder="1"/>
    <xf numFmtId="0" fontId="3" fillId="65" borderId="37" xfId="0" applyFont="1" applyFill="1" applyBorder="1" applyAlignment="1"/>
    <xf numFmtId="0" fontId="53" fillId="0" borderId="37" xfId="0" applyFont="1" applyBorder="1" applyAlignment="1"/>
    <xf numFmtId="0" fontId="3" fillId="0" borderId="37" xfId="704" applyFont="1" applyBorder="1" applyAlignment="1">
      <alignment horizontal="right" readingOrder="2"/>
    </xf>
    <xf numFmtId="0" fontId="3" fillId="0" borderId="37" xfId="704" applyFont="1" applyBorder="1"/>
    <xf numFmtId="0" fontId="3" fillId="64" borderId="38" xfId="0" applyFont="1" applyFill="1" applyBorder="1" applyAlignment="1">
      <alignment horizontal="right" vertical="top"/>
    </xf>
    <xf numFmtId="9" fontId="3" fillId="64" borderId="39" xfId="843" applyFont="1" applyFill="1" applyBorder="1" applyAlignment="1">
      <alignment horizontal="right" vertical="top"/>
    </xf>
    <xf numFmtId="0" fontId="45" fillId="65" borderId="33" xfId="0" applyFont="1" applyFill="1" applyBorder="1" applyAlignment="1">
      <alignment vertical="top" wrapText="1"/>
    </xf>
    <xf numFmtId="0" fontId="45" fillId="65" borderId="32" xfId="0" applyFont="1" applyFill="1" applyBorder="1" applyAlignment="1">
      <alignment vertical="top"/>
    </xf>
    <xf numFmtId="9" fontId="3" fillId="64" borderId="30" xfId="0" applyNumberFormat="1" applyFont="1" applyFill="1" applyBorder="1" applyAlignment="1">
      <alignment horizontal="right"/>
    </xf>
    <xf numFmtId="0" fontId="3" fillId="64" borderId="31" xfId="0" applyFont="1" applyFill="1" applyBorder="1" applyAlignment="1">
      <alignment horizontal="right"/>
    </xf>
    <xf numFmtId="9" fontId="3" fillId="64" borderId="27" xfId="0" applyNumberFormat="1" applyFont="1" applyFill="1" applyBorder="1" applyAlignment="1">
      <alignment horizontal="right"/>
    </xf>
    <xf numFmtId="0" fontId="45" fillId="65" borderId="27" xfId="0" applyFont="1" applyFill="1" applyBorder="1" applyAlignment="1"/>
    <xf numFmtId="0" fontId="45" fillId="65" borderId="31" xfId="0" applyFont="1" applyFill="1" applyBorder="1" applyAlignment="1">
      <alignment vertical="top"/>
    </xf>
    <xf numFmtId="0" fontId="45" fillId="65" borderId="32" xfId="0" applyFont="1" applyFill="1" applyBorder="1" applyAlignment="1">
      <alignment horizontal="right" vertical="center" wrapText="1"/>
    </xf>
    <xf numFmtId="0" fontId="3" fillId="64" borderId="27" xfId="0" applyFont="1" applyFill="1" applyBorder="1" applyAlignment="1">
      <alignment horizontal="right"/>
    </xf>
    <xf numFmtId="0" fontId="45" fillId="65" borderId="34" xfId="0" applyFont="1" applyFill="1" applyBorder="1" applyAlignment="1">
      <alignment horizontal="right" vertical="center" wrapText="1"/>
    </xf>
    <xf numFmtId="9" fontId="3" fillId="64" borderId="40" xfId="0" applyNumberFormat="1" applyFont="1" applyFill="1" applyBorder="1" applyAlignment="1">
      <alignment horizontal="right"/>
    </xf>
    <xf numFmtId="0" fontId="2" fillId="65" borderId="30" xfId="0" applyFont="1" applyFill="1" applyBorder="1" applyAlignment="1">
      <alignment vertical="center" wrapText="1"/>
    </xf>
    <xf numFmtId="0" fontId="2" fillId="65" borderId="31" xfId="0" applyFont="1" applyFill="1" applyBorder="1" applyAlignment="1">
      <alignment vertical="center" wrapText="1"/>
    </xf>
    <xf numFmtId="0" fontId="2" fillId="65" borderId="27" xfId="0" applyFont="1" applyFill="1" applyBorder="1" applyAlignment="1">
      <alignment vertical="center"/>
    </xf>
    <xf numFmtId="0" fontId="2" fillId="65" borderId="30" xfId="0" applyFont="1" applyFill="1" applyBorder="1" applyAlignment="1">
      <alignment vertical="center"/>
    </xf>
    <xf numFmtId="0" fontId="2" fillId="65" borderId="31" xfId="0" applyFont="1" applyFill="1" applyBorder="1" applyAlignment="1">
      <alignment vertical="center"/>
    </xf>
    <xf numFmtId="0" fontId="2" fillId="65" borderId="27" xfId="0" applyFont="1" applyFill="1" applyBorder="1" applyAlignment="1">
      <alignment vertical="center" wrapText="1"/>
    </xf>
    <xf numFmtId="0" fontId="45" fillId="65" borderId="34" xfId="0" applyFont="1" applyFill="1" applyBorder="1" applyAlignment="1">
      <alignment horizontal="right" vertical="top"/>
    </xf>
    <xf numFmtId="0" fontId="3" fillId="64" borderId="39" xfId="0" applyFont="1" applyFill="1" applyBorder="1" applyAlignment="1">
      <alignment horizontal="right" vertical="top"/>
    </xf>
    <xf numFmtId="0" fontId="3" fillId="64" borderId="37" xfId="0" applyFont="1" applyFill="1" applyBorder="1" applyAlignment="1">
      <alignment horizontal="right" vertical="center"/>
    </xf>
    <xf numFmtId="0" fontId="3" fillId="64" borderId="41" xfId="0" applyFont="1" applyFill="1" applyBorder="1" applyAlignment="1">
      <alignment horizontal="right" vertical="center"/>
    </xf>
    <xf numFmtId="0" fontId="3" fillId="64" borderId="42" xfId="0" applyFont="1" applyFill="1" applyBorder="1" applyAlignment="1">
      <alignment horizontal="right" vertical="center"/>
    </xf>
    <xf numFmtId="0" fontId="3" fillId="64" borderId="0" xfId="0" applyFont="1" applyFill="1" applyBorder="1" applyAlignment="1">
      <alignment horizontal="right" vertical="center"/>
    </xf>
    <xf numFmtId="0" fontId="3" fillId="64" borderId="30" xfId="0" applyFont="1" applyFill="1" applyBorder="1" applyAlignment="1">
      <alignment horizontal="right" vertical="center"/>
    </xf>
    <xf numFmtId="0" fontId="3" fillId="64" borderId="43" xfId="0" applyFont="1" applyFill="1" applyBorder="1" applyAlignment="1">
      <alignment horizontal="right" vertical="center"/>
    </xf>
    <xf numFmtId="0" fontId="3" fillId="64" borderId="44" xfId="0" applyFont="1" applyFill="1" applyBorder="1" applyAlignment="1">
      <alignment horizontal="right" vertical="center"/>
    </xf>
    <xf numFmtId="0" fontId="3" fillId="64" borderId="27" xfId="0" applyFont="1" applyFill="1" applyBorder="1" applyAlignment="1">
      <alignment vertical="center"/>
    </xf>
    <xf numFmtId="0" fontId="52" fillId="65" borderId="45" xfId="0" applyFont="1" applyFill="1" applyBorder="1" applyAlignment="1">
      <alignment vertical="top"/>
    </xf>
    <xf numFmtId="0" fontId="3" fillId="64" borderId="46" xfId="0" applyFont="1" applyFill="1" applyBorder="1" applyAlignment="1">
      <alignment horizontal="right" vertical="top"/>
    </xf>
    <xf numFmtId="9" fontId="3" fillId="64" borderId="47" xfId="0" applyNumberFormat="1" applyFont="1" applyFill="1" applyBorder="1" applyAlignment="1">
      <alignment horizontal="right" vertical="top"/>
    </xf>
    <xf numFmtId="0" fontId="3" fillId="64" borderId="37" xfId="704" applyFont="1" applyFill="1" applyBorder="1" applyAlignment="1">
      <alignment wrapText="1"/>
    </xf>
    <xf numFmtId="0" fontId="2" fillId="65" borderId="0" xfId="0" applyFont="1" applyFill="1" applyBorder="1" applyAlignment="1">
      <alignment vertical="center" wrapText="1"/>
    </xf>
    <xf numFmtId="0" fontId="2" fillId="65" borderId="32" xfId="0" applyFont="1" applyFill="1" applyBorder="1" applyAlignment="1">
      <alignment vertical="center" wrapText="1"/>
    </xf>
    <xf numFmtId="0" fontId="2" fillId="65" borderId="33" xfId="0" applyFont="1" applyFill="1" applyBorder="1" applyAlignment="1">
      <alignment vertical="center" wrapText="1"/>
    </xf>
    <xf numFmtId="0" fontId="2" fillId="65" borderId="34" xfId="0" applyFont="1" applyFill="1" applyBorder="1" applyAlignment="1">
      <alignment vertical="center" wrapText="1"/>
    </xf>
    <xf numFmtId="0" fontId="51" fillId="0" borderId="0" xfId="0" applyFont="1" applyAlignment="1"/>
    <xf numFmtId="0" fontId="3" fillId="64" borderId="48" xfId="0" applyFont="1" applyFill="1" applyBorder="1" applyAlignment="1">
      <alignment horizontal="right" vertical="center"/>
    </xf>
    <xf numFmtId="9" fontId="3" fillId="64" borderId="49" xfId="0" applyNumberFormat="1" applyFont="1" applyFill="1" applyBorder="1" applyAlignment="1"/>
    <xf numFmtId="9" fontId="3" fillId="64" borderId="39" xfId="0" applyNumberFormat="1" applyFont="1" applyFill="1" applyBorder="1" applyAlignment="1"/>
    <xf numFmtId="0" fontId="3" fillId="64" borderId="31" xfId="0" applyFont="1" applyFill="1" applyBorder="1" applyAlignment="1">
      <alignment horizontal="right" vertical="center"/>
    </xf>
    <xf numFmtId="9" fontId="3" fillId="64" borderId="31" xfId="0" applyNumberFormat="1" applyFont="1" applyFill="1" applyBorder="1" applyAlignment="1">
      <alignment horizontal="right"/>
    </xf>
    <xf numFmtId="0" fontId="46" fillId="64" borderId="50" xfId="0" applyFont="1" applyFill="1" applyBorder="1" applyAlignment="1">
      <alignment horizontal="center" vertical="center" wrapText="1"/>
    </xf>
    <xf numFmtId="9" fontId="50" fillId="64" borderId="37" xfId="850" applyNumberFormat="1" applyFont="1" applyFill="1" applyBorder="1" applyAlignment="1">
      <alignment horizontal="center"/>
    </xf>
    <xf numFmtId="9" fontId="0" fillId="0" borderId="0" xfId="0" applyNumberFormat="1" applyFont="1" applyAlignment="1"/>
    <xf numFmtId="0" fontId="49" fillId="0" borderId="37" xfId="0" applyFont="1" applyBorder="1" applyAlignment="1"/>
    <xf numFmtId="0" fontId="7" fillId="65" borderId="34" xfId="0" applyFont="1" applyFill="1" applyBorder="1" applyAlignment="1">
      <alignment horizontal="right" vertical="top"/>
    </xf>
    <xf numFmtId="0" fontId="0" fillId="0" borderId="0" xfId="0" applyFont="1" applyAlignment="1"/>
    <xf numFmtId="0" fontId="0" fillId="0" borderId="51" xfId="0" applyFont="1" applyBorder="1" applyAlignment="1"/>
    <xf numFmtId="0" fontId="48" fillId="63" borderId="46" xfId="0" applyFont="1" applyFill="1" applyBorder="1" applyAlignment="1">
      <alignment horizontal="center"/>
    </xf>
    <xf numFmtId="0" fontId="47" fillId="0" borderId="0" xfId="0" applyFont="1" applyAlignment="1"/>
    <xf numFmtId="0" fontId="3" fillId="0" borderId="52" xfId="704" applyFont="1" applyBorder="1" applyAlignment="1">
      <alignment wrapText="1" readingOrder="2"/>
    </xf>
    <xf numFmtId="0" fontId="3" fillId="0" borderId="53" xfId="704" applyFont="1" applyBorder="1" applyAlignment="1">
      <alignment wrapText="1" readingOrder="2"/>
    </xf>
    <xf numFmtId="0" fontId="3" fillId="0" borderId="54" xfId="704" applyFont="1" applyBorder="1" applyAlignment="1">
      <alignment wrapText="1" readingOrder="2"/>
    </xf>
    <xf numFmtId="0" fontId="3" fillId="0" borderId="55" xfId="704" applyFont="1" applyBorder="1" applyAlignment="1">
      <alignment wrapText="1" readingOrder="2"/>
    </xf>
    <xf numFmtId="10" fontId="3" fillId="64" borderId="37" xfId="0" applyNumberFormat="1" applyFont="1" applyFill="1" applyBorder="1" applyAlignment="1">
      <alignment horizontal="center"/>
    </xf>
    <xf numFmtId="0" fontId="0" fillId="0" borderId="0" xfId="0"/>
    <xf numFmtId="9" fontId="78" fillId="64" borderId="37" xfId="850" applyNumberFormat="1" applyFont="1" applyFill="1" applyBorder="1" applyAlignment="1">
      <alignment horizontal="center"/>
    </xf>
    <xf numFmtId="9" fontId="79" fillId="64" borderId="37" xfId="850" applyNumberFormat="1" applyFont="1" applyFill="1" applyBorder="1" applyAlignment="1">
      <alignment horizontal="center"/>
    </xf>
    <xf numFmtId="9" fontId="80" fillId="64" borderId="37" xfId="0" applyNumberFormat="1" applyFont="1" applyFill="1" applyBorder="1" applyAlignment="1">
      <alignment horizontal="center"/>
    </xf>
    <xf numFmtId="10" fontId="80" fillId="64" borderId="37" xfId="0" applyNumberFormat="1" applyFont="1" applyFill="1" applyBorder="1" applyAlignment="1">
      <alignment horizontal="center"/>
    </xf>
    <xf numFmtId="10" fontId="78" fillId="64" borderId="37" xfId="843" applyNumberFormat="1" applyFont="1" applyFill="1" applyBorder="1" applyAlignment="1">
      <alignment horizontal="center"/>
    </xf>
    <xf numFmtId="10" fontId="79" fillId="64" borderId="37" xfId="843" applyNumberFormat="1" applyFont="1" applyFill="1" applyBorder="1" applyAlignment="1">
      <alignment horizontal="center"/>
    </xf>
    <xf numFmtId="10" fontId="50" fillId="64" borderId="37" xfId="843" applyNumberFormat="1" applyFont="1" applyFill="1" applyBorder="1" applyAlignment="1">
      <alignment horizontal="center"/>
    </xf>
    <xf numFmtId="0" fontId="0" fillId="0" borderId="37" xfId="0" applyBorder="1"/>
    <xf numFmtId="0" fontId="5" fillId="0" borderId="37" xfId="0" applyFont="1" applyBorder="1"/>
    <xf numFmtId="9" fontId="81" fillId="64" borderId="37" xfId="0" applyNumberFormat="1" applyFont="1" applyFill="1" applyBorder="1" applyAlignment="1">
      <alignment horizontal="center"/>
    </xf>
    <xf numFmtId="0" fontId="81" fillId="64" borderId="37" xfId="0" applyFont="1" applyFill="1" applyBorder="1" applyAlignment="1">
      <alignment horizontal="center"/>
    </xf>
    <xf numFmtId="0" fontId="3" fillId="0" borderId="26" xfId="704" applyFont="1" applyBorder="1" applyAlignment="1">
      <alignment horizontal="right" wrapText="1" readingOrder="2"/>
    </xf>
    <xf numFmtId="0" fontId="3" fillId="0" borderId="52" xfId="704" applyFont="1" applyBorder="1" applyAlignment="1">
      <alignment horizontal="right" wrapText="1" readingOrder="2"/>
    </xf>
    <xf numFmtId="0" fontId="3" fillId="0" borderId="53" xfId="704" applyFont="1" applyBorder="1" applyAlignment="1">
      <alignment horizontal="right" wrapText="1" readingOrder="2"/>
    </xf>
    <xf numFmtId="0" fontId="3" fillId="0" borderId="56" xfId="704" applyFont="1" applyBorder="1" applyAlignment="1">
      <alignment horizontal="right" wrapText="1" readingOrder="2"/>
    </xf>
    <xf numFmtId="0" fontId="3" fillId="0" borderId="54" xfId="704" applyFont="1" applyBorder="1" applyAlignment="1">
      <alignment horizontal="right" wrapText="1" readingOrder="2"/>
    </xf>
    <xf numFmtId="0" fontId="3" fillId="0" borderId="55" xfId="704" applyFont="1" applyBorder="1" applyAlignment="1">
      <alignment horizontal="right" wrapText="1" readingOrder="2"/>
    </xf>
    <xf numFmtId="0" fontId="3" fillId="64" borderId="27" xfId="0" applyFont="1" applyFill="1" applyBorder="1" applyAlignment="1">
      <alignment horizontal="center" vertical="center" wrapText="1"/>
    </xf>
    <xf numFmtId="0" fontId="3" fillId="64" borderId="30" xfId="0" applyFont="1" applyFill="1" applyBorder="1" applyAlignment="1">
      <alignment horizontal="center" vertical="center" wrapText="1"/>
    </xf>
    <xf numFmtId="0" fontId="3" fillId="64" borderId="31" xfId="0" applyFont="1" applyFill="1" applyBorder="1" applyAlignment="1">
      <alignment horizontal="center" vertical="center" wrapText="1"/>
    </xf>
    <xf numFmtId="0" fontId="45" fillId="65" borderId="30" xfId="0" applyFont="1" applyFill="1" applyBorder="1" applyAlignment="1">
      <alignment horizontal="right" vertical="top"/>
    </xf>
    <xf numFmtId="0" fontId="46" fillId="64" borderId="27" xfId="0" applyFont="1" applyFill="1" applyBorder="1" applyAlignment="1">
      <alignment horizontal="center" vertical="center" wrapText="1"/>
    </xf>
    <xf numFmtId="0" fontId="46" fillId="64" borderId="31" xfId="0" applyFont="1" applyFill="1" applyBorder="1" applyAlignment="1">
      <alignment horizontal="center" vertical="center" wrapText="1"/>
    </xf>
    <xf numFmtId="0" fontId="3" fillId="64" borderId="27" xfId="0" applyFont="1" applyFill="1" applyBorder="1" applyAlignment="1">
      <alignment horizontal="right" vertical="top"/>
    </xf>
    <xf numFmtId="0" fontId="3" fillId="64" borderId="31" xfId="0" applyFont="1" applyFill="1" applyBorder="1" applyAlignment="1">
      <alignment horizontal="right" vertical="top"/>
    </xf>
    <xf numFmtId="0" fontId="3" fillId="0" borderId="26" xfId="704" applyFont="1" applyBorder="1" applyAlignment="1">
      <alignment horizontal="center" wrapText="1" readingOrder="2"/>
    </xf>
    <xf numFmtId="0" fontId="3" fillId="0" borderId="52" xfId="704" applyFont="1" applyBorder="1" applyAlignment="1">
      <alignment horizontal="center" wrapText="1" readingOrder="2"/>
    </xf>
    <xf numFmtId="0" fontId="3" fillId="0" borderId="56" xfId="704" applyFont="1" applyBorder="1" applyAlignment="1">
      <alignment horizontal="center" wrapText="1" readingOrder="2"/>
    </xf>
    <xf numFmtId="0" fontId="3" fillId="0" borderId="54" xfId="704" applyFont="1" applyBorder="1" applyAlignment="1">
      <alignment horizontal="center" wrapText="1" readingOrder="2"/>
    </xf>
    <xf numFmtId="9" fontId="3" fillId="64" borderId="27" xfId="0" applyNumberFormat="1" applyFont="1" applyFill="1" applyBorder="1" applyAlignment="1">
      <alignment horizontal="right" vertical="top"/>
    </xf>
    <xf numFmtId="9" fontId="3" fillId="64" borderId="31" xfId="0" applyNumberFormat="1" applyFont="1" applyFill="1" applyBorder="1" applyAlignment="1">
      <alignment horizontal="right" vertical="top"/>
    </xf>
    <xf numFmtId="0" fontId="46" fillId="64" borderId="30" xfId="0" applyFont="1" applyFill="1" applyBorder="1" applyAlignment="1">
      <alignment horizontal="center" vertical="center" wrapText="1"/>
    </xf>
    <xf numFmtId="0" fontId="45" fillId="65" borderId="31" xfId="0" applyFont="1" applyFill="1" applyBorder="1" applyAlignment="1">
      <alignment horizontal="right" vertical="top"/>
    </xf>
    <xf numFmtId="170" fontId="0" fillId="0" borderId="0" xfId="0" applyNumberFormat="1" applyFont="1" applyAlignment="1"/>
    <xf numFmtId="9" fontId="77" fillId="0" borderId="0" xfId="843"/>
    <xf numFmtId="9" fontId="77" fillId="0" borderId="0" xfId="843" applyAlignment="1"/>
    <xf numFmtId="10" fontId="50" fillId="64" borderId="37" xfId="850" applyNumberFormat="1" applyFont="1" applyFill="1" applyBorder="1" applyAlignment="1">
      <alignment horizontal="center"/>
    </xf>
    <xf numFmtId="9" fontId="50" fillId="64" borderId="37" xfId="843" applyFont="1" applyFill="1" applyBorder="1" applyAlignment="1">
      <alignment horizontal="center"/>
    </xf>
    <xf numFmtId="2" fontId="80" fillId="64" borderId="37" xfId="0" applyNumberFormat="1" applyFont="1" applyFill="1" applyBorder="1" applyAlignment="1">
      <alignment horizontal="right" wrapText="1"/>
    </xf>
    <xf numFmtId="0" fontId="80" fillId="64" borderId="37" xfId="704" applyFont="1" applyFill="1" applyBorder="1"/>
    <xf numFmtId="0" fontId="80" fillId="64" borderId="37" xfId="0" applyFont="1" applyFill="1" applyBorder="1" applyAlignment="1"/>
    <xf numFmtId="10" fontId="77" fillId="0" borderId="0" xfId="843" applyNumberFormat="1" applyAlignment="1"/>
    <xf numFmtId="0" fontId="80" fillId="65" borderId="37" xfId="704" applyFont="1" applyFill="1" applyBorder="1"/>
    <xf numFmtId="0" fontId="80" fillId="65" borderId="37" xfId="0" applyFont="1" applyFill="1" applyBorder="1" applyAlignment="1"/>
  </cellXfs>
  <cellStyles count="1039">
    <cellStyle name="20% - Accent1" xfId="1"/>
    <cellStyle name="20% - Accent1 2" xfId="2"/>
    <cellStyle name="20% - Accent1 3" xfId="3"/>
    <cellStyle name="20% - Accent1 4" xfId="4"/>
    <cellStyle name="20% - Accent1 5" xfId="5"/>
    <cellStyle name="20% - Accent1 6" xfId="6"/>
    <cellStyle name="20% - Accent2" xfId="7"/>
    <cellStyle name="20% - Accent2 2" xfId="8"/>
    <cellStyle name="20% - Accent2 3" xfId="9"/>
    <cellStyle name="20% - Accent2 4" xfId="10"/>
    <cellStyle name="20% - Accent2 5" xfId="11"/>
    <cellStyle name="20% - Accent2 6" xfId="12"/>
    <cellStyle name="20% - Accent3" xfId="13"/>
    <cellStyle name="20% - Accent3 2" xfId="14"/>
    <cellStyle name="20% - Accent3 3" xfId="15"/>
    <cellStyle name="20% - Accent3 4" xfId="16"/>
    <cellStyle name="20% - Accent3 5" xfId="17"/>
    <cellStyle name="20% - Accent3 6" xfId="18"/>
    <cellStyle name="20% - Accent4" xfId="19"/>
    <cellStyle name="20% - Accent4 2" xfId="20"/>
    <cellStyle name="20% - Accent4 3" xfId="21"/>
    <cellStyle name="20% - Accent4 4" xfId="22"/>
    <cellStyle name="20% - Accent4 5" xfId="23"/>
    <cellStyle name="20% - Accent4 6" xfId="24"/>
    <cellStyle name="20% - Accent5" xfId="25"/>
    <cellStyle name="20% - Accent5 2" xfId="26"/>
    <cellStyle name="20% - Accent5 3" xfId="27"/>
    <cellStyle name="20% - Accent5 4" xfId="28"/>
    <cellStyle name="20% - Accent5 5" xfId="29"/>
    <cellStyle name="20% - Accent5 6" xfId="30"/>
    <cellStyle name="20% - Accent6" xfId="31"/>
    <cellStyle name="20% - Accent6 2" xfId="32"/>
    <cellStyle name="20% - Accent6 3" xfId="33"/>
    <cellStyle name="20% - Accent6 4" xfId="34"/>
    <cellStyle name="20% - Accent6 5" xfId="35"/>
    <cellStyle name="20% - Accent6 6" xfId="36"/>
    <cellStyle name="20% - הדגשה1" xfId="37"/>
    <cellStyle name="20% - הדגשה1 2" xfId="38"/>
    <cellStyle name="20% - הדגשה1 2 2" xfId="39"/>
    <cellStyle name="20% - הדגשה1 2 2 2" xfId="40"/>
    <cellStyle name="20% - הדגשה1 2 2 2 2" xfId="41"/>
    <cellStyle name="20% - הדגשה1 2 2 3" xfId="42"/>
    <cellStyle name="20% - הדגשה1 2 3" xfId="43"/>
    <cellStyle name="20% - הדגשה1 2 3 2" xfId="44"/>
    <cellStyle name="20% - הדגשה1 2 4" xfId="45"/>
    <cellStyle name="20% - הדגשה1 3" xfId="46"/>
    <cellStyle name="20% - הדגשה1 3 2" xfId="47"/>
    <cellStyle name="20% - הדגשה1 3 2 2" xfId="48"/>
    <cellStyle name="20% - הדגשה1 3 2 2 2" xfId="49"/>
    <cellStyle name="20% - הדגשה1 3 2 3" xfId="50"/>
    <cellStyle name="20% - הדגשה1 3 3" xfId="51"/>
    <cellStyle name="20% - הדגשה1 3 3 2" xfId="52"/>
    <cellStyle name="20% - הדגשה1 3 4" xfId="53"/>
    <cellStyle name="20% - הדגשה1 4" xfId="54"/>
    <cellStyle name="20% - הדגשה1 4 2" xfId="55"/>
    <cellStyle name="20% - הדגשה1 4 2 2" xfId="56"/>
    <cellStyle name="20% - הדגשה1 4 3" xfId="57"/>
    <cellStyle name="20% - הדגשה1 5" xfId="58"/>
    <cellStyle name="20% - הדגשה1 5 2" xfId="59"/>
    <cellStyle name="20% - הדגשה1 6" xfId="60"/>
    <cellStyle name="20% - הדגשה1 7" xfId="61"/>
    <cellStyle name="20% - הדגשה2" xfId="62"/>
    <cellStyle name="20% - הדגשה2 2" xfId="63"/>
    <cellStyle name="20% - הדגשה2 2 2" xfId="64"/>
    <cellStyle name="20% - הדגשה2 2 2 2" xfId="65"/>
    <cellStyle name="20% - הדגשה2 2 2 2 2" xfId="66"/>
    <cellStyle name="20% - הדגשה2 2 2 3" xfId="67"/>
    <cellStyle name="20% - הדגשה2 2 3" xfId="68"/>
    <cellStyle name="20% - הדגשה2 2 3 2" xfId="69"/>
    <cellStyle name="20% - הדגשה2 2 4" xfId="70"/>
    <cellStyle name="20% - הדגשה2 3" xfId="71"/>
    <cellStyle name="20% - הדגשה2 3 2" xfId="72"/>
    <cellStyle name="20% - הדגשה2 3 2 2" xfId="73"/>
    <cellStyle name="20% - הדגשה2 3 2 2 2" xfId="74"/>
    <cellStyle name="20% - הדגשה2 3 2 3" xfId="75"/>
    <cellStyle name="20% - הדגשה2 3 3" xfId="76"/>
    <cellStyle name="20% - הדגשה2 3 3 2" xfId="77"/>
    <cellStyle name="20% - הדגשה2 3 4" xfId="78"/>
    <cellStyle name="20% - הדגשה2 4" xfId="79"/>
    <cellStyle name="20% - הדגשה2 4 2" xfId="80"/>
    <cellStyle name="20% - הדגשה2 4 2 2" xfId="81"/>
    <cellStyle name="20% - הדגשה2 4 3" xfId="82"/>
    <cellStyle name="20% - הדגשה2 5" xfId="83"/>
    <cellStyle name="20% - הדגשה2 5 2" xfId="84"/>
    <cellStyle name="20% - הדגשה2 6" xfId="85"/>
    <cellStyle name="20% - הדגשה2 7" xfId="86"/>
    <cellStyle name="20% - הדגשה3" xfId="87"/>
    <cellStyle name="20% - הדגשה3 2" xfId="88"/>
    <cellStyle name="20% - הדגשה3 2 2" xfId="89"/>
    <cellStyle name="20% - הדגשה3 2 2 2" xfId="90"/>
    <cellStyle name="20% - הדגשה3 2 2 2 2" xfId="91"/>
    <cellStyle name="20% - הדגשה3 2 2 3" xfId="92"/>
    <cellStyle name="20% - הדגשה3 2 3" xfId="93"/>
    <cellStyle name="20% - הדגשה3 2 3 2" xfId="94"/>
    <cellStyle name="20% - הדגשה3 2 4" xfId="95"/>
    <cellStyle name="20% - הדגשה3 3" xfId="96"/>
    <cellStyle name="20% - הדגשה3 3 2" xfId="97"/>
    <cellStyle name="20% - הדגשה3 3 2 2" xfId="98"/>
    <cellStyle name="20% - הדגשה3 3 2 2 2" xfId="99"/>
    <cellStyle name="20% - הדגשה3 3 2 3" xfId="100"/>
    <cellStyle name="20% - הדגשה3 3 3" xfId="101"/>
    <cellStyle name="20% - הדגשה3 3 3 2" xfId="102"/>
    <cellStyle name="20% - הדגשה3 3 4" xfId="103"/>
    <cellStyle name="20% - הדגשה3 4" xfId="104"/>
    <cellStyle name="20% - הדגשה3 4 2" xfId="105"/>
    <cellStyle name="20% - הדגשה3 4 2 2" xfId="106"/>
    <cellStyle name="20% - הדגשה3 4 3" xfId="107"/>
    <cellStyle name="20% - הדגשה3 5" xfId="108"/>
    <cellStyle name="20% - הדגשה3 5 2" xfId="109"/>
    <cellStyle name="20% - הדגשה3 6" xfId="110"/>
    <cellStyle name="20% - הדגשה3 7" xfId="111"/>
    <cellStyle name="20% - הדגשה4" xfId="112"/>
    <cellStyle name="20% - הדגשה4 2" xfId="113"/>
    <cellStyle name="20% - הדגשה4 2 2" xfId="114"/>
    <cellStyle name="20% - הדגשה4 2 2 2" xfId="115"/>
    <cellStyle name="20% - הדגשה4 2 2 2 2" xfId="116"/>
    <cellStyle name="20% - הדגשה4 2 2 3" xfId="117"/>
    <cellStyle name="20% - הדגשה4 2 3" xfId="118"/>
    <cellStyle name="20% - הדגשה4 2 3 2" xfId="119"/>
    <cellStyle name="20% - הדגשה4 2 4" xfId="120"/>
    <cellStyle name="20% - הדגשה4 3" xfId="121"/>
    <cellStyle name="20% - הדגשה4 3 2" xfId="122"/>
    <cellStyle name="20% - הדגשה4 3 2 2" xfId="123"/>
    <cellStyle name="20% - הדגשה4 3 2 2 2" xfId="124"/>
    <cellStyle name="20% - הדגשה4 3 2 3" xfId="125"/>
    <cellStyle name="20% - הדגשה4 3 3" xfId="126"/>
    <cellStyle name="20% - הדגשה4 3 3 2" xfId="127"/>
    <cellStyle name="20% - הדגשה4 3 4" xfId="128"/>
    <cellStyle name="20% - הדגשה4 4" xfId="129"/>
    <cellStyle name="20% - הדגשה4 4 2" xfId="130"/>
    <cellStyle name="20% - הדגשה4 4 2 2" xfId="131"/>
    <cellStyle name="20% - הדגשה4 4 3" xfId="132"/>
    <cellStyle name="20% - הדגשה4 5" xfId="133"/>
    <cellStyle name="20% - הדגשה4 5 2" xfId="134"/>
    <cellStyle name="20% - הדגשה4 6" xfId="135"/>
    <cellStyle name="20% - הדגשה4 7" xfId="136"/>
    <cellStyle name="20% - הדגשה5" xfId="137"/>
    <cellStyle name="20% - הדגשה5 2" xfId="138"/>
    <cellStyle name="20% - הדגשה5 2 2" xfId="139"/>
    <cellStyle name="20% - הדגשה5 2 2 2" xfId="140"/>
    <cellStyle name="20% - הדגשה5 2 2 2 2" xfId="141"/>
    <cellStyle name="20% - הדגשה5 2 2 3" xfId="142"/>
    <cellStyle name="20% - הדגשה5 2 3" xfId="143"/>
    <cellStyle name="20% - הדגשה5 2 3 2" xfId="144"/>
    <cellStyle name="20% - הדגשה5 2 4" xfId="145"/>
    <cellStyle name="20% - הדגשה5 3" xfId="146"/>
    <cellStyle name="20% - הדגשה5 3 2" xfId="147"/>
    <cellStyle name="20% - הדגשה5 3 2 2" xfId="148"/>
    <cellStyle name="20% - הדגשה5 3 2 2 2" xfId="149"/>
    <cellStyle name="20% - הדגשה5 3 2 3" xfId="150"/>
    <cellStyle name="20% - הדגשה5 3 3" xfId="151"/>
    <cellStyle name="20% - הדגשה5 3 3 2" xfId="152"/>
    <cellStyle name="20% - הדגשה5 3 4" xfId="153"/>
    <cellStyle name="20% - הדגשה5 4" xfId="154"/>
    <cellStyle name="20% - הדגשה5 4 2" xfId="155"/>
    <cellStyle name="20% - הדגשה5 4 2 2" xfId="156"/>
    <cellStyle name="20% - הדגשה5 4 3" xfId="157"/>
    <cellStyle name="20% - הדגשה5 5" xfId="158"/>
    <cellStyle name="20% - הדגשה5 5 2" xfId="159"/>
    <cellStyle name="20% - הדגשה5 6" xfId="160"/>
    <cellStyle name="20% - הדגשה5 7" xfId="161"/>
    <cellStyle name="20% - הדגשה6" xfId="162"/>
    <cellStyle name="20% - הדגשה6 2" xfId="163"/>
    <cellStyle name="20% - הדגשה6 2 2" xfId="164"/>
    <cellStyle name="20% - הדגשה6 2 2 2" xfId="165"/>
    <cellStyle name="20% - הדגשה6 2 2 2 2" xfId="166"/>
    <cellStyle name="20% - הדגשה6 2 2 3" xfId="167"/>
    <cellStyle name="20% - הדגשה6 2 3" xfId="168"/>
    <cellStyle name="20% - הדגשה6 2 3 2" xfId="169"/>
    <cellStyle name="20% - הדגשה6 2 4" xfId="170"/>
    <cellStyle name="20% - הדגשה6 3" xfId="171"/>
    <cellStyle name="20% - הדגשה6 3 2" xfId="172"/>
    <cellStyle name="20% - הדגשה6 3 2 2" xfId="173"/>
    <cellStyle name="20% - הדגשה6 3 2 2 2" xfId="174"/>
    <cellStyle name="20% - הדגשה6 3 2 3" xfId="175"/>
    <cellStyle name="20% - הדגשה6 3 3" xfId="176"/>
    <cellStyle name="20% - הדגשה6 3 3 2" xfId="177"/>
    <cellStyle name="20% - הדגשה6 3 4" xfId="178"/>
    <cellStyle name="20% - הדגשה6 4" xfId="179"/>
    <cellStyle name="20% - הדגשה6 4 2" xfId="180"/>
    <cellStyle name="20% - הדגשה6 4 2 2" xfId="181"/>
    <cellStyle name="20% - הדגשה6 4 3" xfId="182"/>
    <cellStyle name="20% - הדגשה6 5" xfId="183"/>
    <cellStyle name="20% - הדגשה6 5 2" xfId="184"/>
    <cellStyle name="20% - הדגשה6 6" xfId="185"/>
    <cellStyle name="20% - הדגשה6 7" xfId="186"/>
    <cellStyle name="40% - Accent1" xfId="187"/>
    <cellStyle name="40% - Accent1 2" xfId="188"/>
    <cellStyle name="40% - Accent1 3" xfId="189"/>
    <cellStyle name="40% - Accent1 4" xfId="190"/>
    <cellStyle name="40% - Accent1 5" xfId="191"/>
    <cellStyle name="40% - Accent1 6" xfId="192"/>
    <cellStyle name="40% - Accent2" xfId="193"/>
    <cellStyle name="40% - Accent2 2" xfId="194"/>
    <cellStyle name="40% - Accent2 3" xfId="195"/>
    <cellStyle name="40% - Accent2 4" xfId="196"/>
    <cellStyle name="40% - Accent2 5" xfId="197"/>
    <cellStyle name="40% - Accent2 6" xfId="198"/>
    <cellStyle name="40% - Accent3" xfId="199"/>
    <cellStyle name="40% - Accent3 2" xfId="200"/>
    <cellStyle name="40% - Accent3 3" xfId="201"/>
    <cellStyle name="40% - Accent3 4" xfId="202"/>
    <cellStyle name="40% - Accent3 5" xfId="203"/>
    <cellStyle name="40% - Accent3 6" xfId="204"/>
    <cellStyle name="40% - Accent4" xfId="205"/>
    <cellStyle name="40% - Accent4 2" xfId="206"/>
    <cellStyle name="40% - Accent4 3" xfId="207"/>
    <cellStyle name="40% - Accent4 4" xfId="208"/>
    <cellStyle name="40% - Accent4 5" xfId="209"/>
    <cellStyle name="40% - Accent4 6" xfId="210"/>
    <cellStyle name="40% - Accent5" xfId="211"/>
    <cellStyle name="40% - Accent5 2" xfId="212"/>
    <cellStyle name="40% - Accent5 3" xfId="213"/>
    <cellStyle name="40% - Accent5 4" xfId="214"/>
    <cellStyle name="40% - Accent5 5" xfId="215"/>
    <cellStyle name="40% - Accent5 6" xfId="216"/>
    <cellStyle name="40% - Accent6" xfId="217"/>
    <cellStyle name="40% - Accent6 2" xfId="218"/>
    <cellStyle name="40% - Accent6 3" xfId="219"/>
    <cellStyle name="40% - Accent6 4" xfId="220"/>
    <cellStyle name="40% - Accent6 5" xfId="221"/>
    <cellStyle name="40% - Accent6 6" xfId="222"/>
    <cellStyle name="40% - הדגשה1" xfId="223"/>
    <cellStyle name="40% - הדגשה1 2" xfId="224"/>
    <cellStyle name="40% - הדגשה1 2 2" xfId="225"/>
    <cellStyle name="40% - הדגשה1 2 2 2" xfId="226"/>
    <cellStyle name="40% - הדגשה1 2 2 2 2" xfId="227"/>
    <cellStyle name="40% - הדגשה1 2 2 3" xfId="228"/>
    <cellStyle name="40% - הדגשה1 2 3" xfId="229"/>
    <cellStyle name="40% - הדגשה1 2 3 2" xfId="230"/>
    <cellStyle name="40% - הדגשה1 2 4" xfId="231"/>
    <cellStyle name="40% - הדגשה1 3" xfId="232"/>
    <cellStyle name="40% - הדגשה1 3 2" xfId="233"/>
    <cellStyle name="40% - הדגשה1 3 2 2" xfId="234"/>
    <cellStyle name="40% - הדגשה1 3 2 2 2" xfId="235"/>
    <cellStyle name="40% - הדגשה1 3 2 3" xfId="236"/>
    <cellStyle name="40% - הדגשה1 3 3" xfId="237"/>
    <cellStyle name="40% - הדגשה1 3 3 2" xfId="238"/>
    <cellStyle name="40% - הדגשה1 3 4" xfId="239"/>
    <cellStyle name="40% - הדגשה1 4" xfId="240"/>
    <cellStyle name="40% - הדגשה1 4 2" xfId="241"/>
    <cellStyle name="40% - הדגשה1 4 2 2" xfId="242"/>
    <cellStyle name="40% - הדגשה1 4 3" xfId="243"/>
    <cellStyle name="40% - הדגשה1 5" xfId="244"/>
    <cellStyle name="40% - הדגשה1 5 2" xfId="245"/>
    <cellStyle name="40% - הדגשה1 6" xfId="246"/>
    <cellStyle name="40% - הדגשה1 7" xfId="247"/>
    <cellStyle name="40% - הדגשה2" xfId="248"/>
    <cellStyle name="40% - הדגשה2 2" xfId="249"/>
    <cellStyle name="40% - הדגשה2 2 2" xfId="250"/>
    <cellStyle name="40% - הדגשה2 2 2 2" xfId="251"/>
    <cellStyle name="40% - הדגשה2 2 2 2 2" xfId="252"/>
    <cellStyle name="40% - הדגשה2 2 2 3" xfId="253"/>
    <cellStyle name="40% - הדגשה2 2 3" xfId="254"/>
    <cellStyle name="40% - הדגשה2 2 3 2" xfId="255"/>
    <cellStyle name="40% - הדגשה2 2 4" xfId="256"/>
    <cellStyle name="40% - הדגשה2 3" xfId="257"/>
    <cellStyle name="40% - הדגשה2 3 2" xfId="258"/>
    <cellStyle name="40% - הדגשה2 3 2 2" xfId="259"/>
    <cellStyle name="40% - הדגשה2 3 2 2 2" xfId="260"/>
    <cellStyle name="40% - הדגשה2 3 2 3" xfId="261"/>
    <cellStyle name="40% - הדגשה2 3 3" xfId="262"/>
    <cellStyle name="40% - הדגשה2 3 3 2" xfId="263"/>
    <cellStyle name="40% - הדגשה2 3 4" xfId="264"/>
    <cellStyle name="40% - הדגשה2 4" xfId="265"/>
    <cellStyle name="40% - הדגשה2 4 2" xfId="266"/>
    <cellStyle name="40% - הדגשה2 4 2 2" xfId="267"/>
    <cellStyle name="40% - הדגשה2 4 3" xfId="268"/>
    <cellStyle name="40% - הדגשה2 5" xfId="269"/>
    <cellStyle name="40% - הדגשה2 5 2" xfId="270"/>
    <cellStyle name="40% - הדגשה2 6" xfId="271"/>
    <cellStyle name="40% - הדגשה2 7" xfId="272"/>
    <cellStyle name="40% - הדגשה3" xfId="273"/>
    <cellStyle name="40% - הדגשה3 2" xfId="274"/>
    <cellStyle name="40% - הדגשה3 2 2" xfId="275"/>
    <cellStyle name="40% - הדגשה3 2 2 2" xfId="276"/>
    <cellStyle name="40% - הדגשה3 2 2 2 2" xfId="277"/>
    <cellStyle name="40% - הדגשה3 2 2 3" xfId="278"/>
    <cellStyle name="40% - הדגשה3 2 3" xfId="279"/>
    <cellStyle name="40% - הדגשה3 2 3 2" xfId="280"/>
    <cellStyle name="40% - הדגשה3 2 4" xfId="281"/>
    <cellStyle name="40% - הדגשה3 3" xfId="282"/>
    <cellStyle name="40% - הדגשה3 3 2" xfId="283"/>
    <cellStyle name="40% - הדגשה3 3 2 2" xfId="284"/>
    <cellStyle name="40% - הדגשה3 3 2 2 2" xfId="285"/>
    <cellStyle name="40% - הדגשה3 3 2 3" xfId="286"/>
    <cellStyle name="40% - הדגשה3 3 3" xfId="287"/>
    <cellStyle name="40% - הדגשה3 3 3 2" xfId="288"/>
    <cellStyle name="40% - הדגשה3 3 4" xfId="289"/>
    <cellStyle name="40% - הדגשה3 4" xfId="290"/>
    <cellStyle name="40% - הדגשה3 4 2" xfId="291"/>
    <cellStyle name="40% - הדגשה3 4 2 2" xfId="292"/>
    <cellStyle name="40% - הדגשה3 4 3" xfId="293"/>
    <cellStyle name="40% - הדגשה3 5" xfId="294"/>
    <cellStyle name="40% - הדגשה3 5 2" xfId="295"/>
    <cellStyle name="40% - הדגשה3 6" xfId="296"/>
    <cellStyle name="40% - הדגשה3 7" xfId="297"/>
    <cellStyle name="40% - הדגשה4" xfId="298"/>
    <cellStyle name="40% - הדגשה4 2" xfId="299"/>
    <cellStyle name="40% - הדגשה4 2 2" xfId="300"/>
    <cellStyle name="40% - הדגשה4 2 2 2" xfId="301"/>
    <cellStyle name="40% - הדגשה4 2 2 2 2" xfId="302"/>
    <cellStyle name="40% - הדגשה4 2 2 3" xfId="303"/>
    <cellStyle name="40% - הדגשה4 2 3" xfId="304"/>
    <cellStyle name="40% - הדגשה4 2 3 2" xfId="305"/>
    <cellStyle name="40% - הדגשה4 2 4" xfId="306"/>
    <cellStyle name="40% - הדגשה4 3" xfId="307"/>
    <cellStyle name="40% - הדגשה4 3 2" xfId="308"/>
    <cellStyle name="40% - הדגשה4 3 2 2" xfId="309"/>
    <cellStyle name="40% - הדגשה4 3 2 2 2" xfId="310"/>
    <cellStyle name="40% - הדגשה4 3 2 3" xfId="311"/>
    <cellStyle name="40% - הדגשה4 3 3" xfId="312"/>
    <cellStyle name="40% - הדגשה4 3 3 2" xfId="313"/>
    <cellStyle name="40% - הדגשה4 3 4" xfId="314"/>
    <cellStyle name="40% - הדגשה4 4" xfId="315"/>
    <cellStyle name="40% - הדגשה4 4 2" xfId="316"/>
    <cellStyle name="40% - הדגשה4 4 2 2" xfId="317"/>
    <cellStyle name="40% - הדגשה4 4 3" xfId="318"/>
    <cellStyle name="40% - הדגשה4 5" xfId="319"/>
    <cellStyle name="40% - הדגשה4 5 2" xfId="320"/>
    <cellStyle name="40% - הדגשה4 6" xfId="321"/>
    <cellStyle name="40% - הדגשה4 7" xfId="322"/>
    <cellStyle name="40% - הדגשה5" xfId="323"/>
    <cellStyle name="40% - הדגשה5 2" xfId="324"/>
    <cellStyle name="40% - הדגשה5 2 2" xfId="325"/>
    <cellStyle name="40% - הדגשה5 2 2 2" xfId="326"/>
    <cellStyle name="40% - הדגשה5 2 2 2 2" xfId="327"/>
    <cellStyle name="40% - הדגשה5 2 2 3" xfId="328"/>
    <cellStyle name="40% - הדגשה5 2 3" xfId="329"/>
    <cellStyle name="40% - הדגשה5 2 3 2" xfId="330"/>
    <cellStyle name="40% - הדגשה5 2 4" xfId="331"/>
    <cellStyle name="40% - הדגשה5 3" xfId="332"/>
    <cellStyle name="40% - הדגשה5 3 2" xfId="333"/>
    <cellStyle name="40% - הדגשה5 3 2 2" xfId="334"/>
    <cellStyle name="40% - הדגשה5 3 2 2 2" xfId="335"/>
    <cellStyle name="40% - הדגשה5 3 2 3" xfId="336"/>
    <cellStyle name="40% - הדגשה5 3 3" xfId="337"/>
    <cellStyle name="40% - הדגשה5 3 3 2" xfId="338"/>
    <cellStyle name="40% - הדגשה5 3 4" xfId="339"/>
    <cellStyle name="40% - הדגשה5 4" xfId="340"/>
    <cellStyle name="40% - הדגשה5 4 2" xfId="341"/>
    <cellStyle name="40% - הדגשה5 4 2 2" xfId="342"/>
    <cellStyle name="40% - הדגשה5 4 3" xfId="343"/>
    <cellStyle name="40% - הדגשה5 5" xfId="344"/>
    <cellStyle name="40% - הדגשה5 5 2" xfId="345"/>
    <cellStyle name="40% - הדגשה5 6" xfId="346"/>
    <cellStyle name="40% - הדגשה5 7" xfId="347"/>
    <cellStyle name="40% - הדגשה6" xfId="348"/>
    <cellStyle name="40% - הדגשה6 2" xfId="349"/>
    <cellStyle name="40% - הדגשה6 2 2" xfId="350"/>
    <cellStyle name="40% - הדגשה6 2 2 2" xfId="351"/>
    <cellStyle name="40% - הדגשה6 2 2 2 2" xfId="352"/>
    <cellStyle name="40% - הדגשה6 2 2 3" xfId="353"/>
    <cellStyle name="40% - הדגשה6 2 3" xfId="354"/>
    <cellStyle name="40% - הדגשה6 2 3 2" xfId="355"/>
    <cellStyle name="40% - הדגשה6 2 4" xfId="356"/>
    <cellStyle name="40% - הדגשה6 3" xfId="357"/>
    <cellStyle name="40% - הדגשה6 3 2" xfId="358"/>
    <cellStyle name="40% - הדגשה6 3 2 2" xfId="359"/>
    <cellStyle name="40% - הדגשה6 3 2 2 2" xfId="360"/>
    <cellStyle name="40% - הדגשה6 3 2 3" xfId="361"/>
    <cellStyle name="40% - הדגשה6 3 3" xfId="362"/>
    <cellStyle name="40% - הדגשה6 3 3 2" xfId="363"/>
    <cellStyle name="40% - הדגשה6 3 4" xfId="364"/>
    <cellStyle name="40% - הדגשה6 4" xfId="365"/>
    <cellStyle name="40% - הדגשה6 4 2" xfId="366"/>
    <cellStyle name="40% - הדגשה6 4 2 2" xfId="367"/>
    <cellStyle name="40% - הדגשה6 4 3" xfId="368"/>
    <cellStyle name="40% - הדגשה6 5" xfId="369"/>
    <cellStyle name="40% - הדגשה6 5 2" xfId="370"/>
    <cellStyle name="40% - הדגשה6 6" xfId="371"/>
    <cellStyle name="40% - הדגשה6 7" xfId="372"/>
    <cellStyle name="60% - Accent1" xfId="373"/>
    <cellStyle name="60% - Accent1 2" xfId="374"/>
    <cellStyle name="60% - Accent1 3" xfId="375"/>
    <cellStyle name="60% - Accent1 4" xfId="376"/>
    <cellStyle name="60% - Accent1 5" xfId="377"/>
    <cellStyle name="60% - Accent1 6" xfId="378"/>
    <cellStyle name="60% - Accent2" xfId="379"/>
    <cellStyle name="60% - Accent2 2" xfId="380"/>
    <cellStyle name="60% - Accent2 3" xfId="381"/>
    <cellStyle name="60% - Accent2 4" xfId="382"/>
    <cellStyle name="60% - Accent2 5" xfId="383"/>
    <cellStyle name="60% - Accent2 6" xfId="384"/>
    <cellStyle name="60% - Accent3" xfId="385"/>
    <cellStyle name="60% - Accent3 2" xfId="386"/>
    <cellStyle name="60% - Accent3 3" xfId="387"/>
    <cellStyle name="60% - Accent3 4" xfId="388"/>
    <cellStyle name="60% - Accent3 5" xfId="389"/>
    <cellStyle name="60% - Accent3 6" xfId="390"/>
    <cellStyle name="60% - Accent4" xfId="391"/>
    <cellStyle name="60% - Accent4 2" xfId="392"/>
    <cellStyle name="60% - Accent4 3" xfId="393"/>
    <cellStyle name="60% - Accent4 4" xfId="394"/>
    <cellStyle name="60% - Accent4 5" xfId="395"/>
    <cellStyle name="60% - Accent4 6" xfId="396"/>
    <cellStyle name="60% - Accent5" xfId="397"/>
    <cellStyle name="60% - Accent5 2" xfId="398"/>
    <cellStyle name="60% - Accent5 3" xfId="399"/>
    <cellStyle name="60% - Accent5 4" xfId="400"/>
    <cellStyle name="60% - Accent5 5" xfId="401"/>
    <cellStyle name="60% - Accent5 6" xfId="402"/>
    <cellStyle name="60% - Accent6" xfId="403"/>
    <cellStyle name="60% - Accent6 2" xfId="404"/>
    <cellStyle name="60% - Accent6 3" xfId="405"/>
    <cellStyle name="60% - Accent6 4" xfId="406"/>
    <cellStyle name="60% - Accent6 5" xfId="407"/>
    <cellStyle name="60% - Accent6 6" xfId="408"/>
    <cellStyle name="60% - הדגשה1" xfId="409"/>
    <cellStyle name="60% - הדגשה1 2" xfId="410"/>
    <cellStyle name="60% - הדגשה2" xfId="411"/>
    <cellStyle name="60% - הדגשה2 2" xfId="412"/>
    <cellStyle name="60% - הדגשה3" xfId="413"/>
    <cellStyle name="60% - הדגשה3 2" xfId="414"/>
    <cellStyle name="60% - הדגשה4" xfId="415"/>
    <cellStyle name="60% - הדגשה4 2" xfId="416"/>
    <cellStyle name="60% - הדגשה5" xfId="417"/>
    <cellStyle name="60% - הדגשה5 2" xfId="418"/>
    <cellStyle name="60% - הדגשה6" xfId="419"/>
    <cellStyle name="60% - הדגשה6 2" xfId="420"/>
    <cellStyle name="Accent1" xfId="421"/>
    <cellStyle name="Accent1 2" xfId="422"/>
    <cellStyle name="Accent1 3" xfId="423"/>
    <cellStyle name="Accent1 4" xfId="424"/>
    <cellStyle name="Accent1 5" xfId="425"/>
    <cellStyle name="Accent1 6" xfId="426"/>
    <cellStyle name="Accent2" xfId="427"/>
    <cellStyle name="Accent2 2" xfId="428"/>
    <cellStyle name="Accent2 3" xfId="429"/>
    <cellStyle name="Accent2 4" xfId="430"/>
    <cellStyle name="Accent2 5" xfId="431"/>
    <cellStyle name="Accent2 6" xfId="432"/>
    <cellStyle name="Accent3" xfId="433"/>
    <cellStyle name="Accent3 2" xfId="434"/>
    <cellStyle name="Accent3 3" xfId="435"/>
    <cellStyle name="Accent3 4" xfId="436"/>
    <cellStyle name="Accent3 5" xfId="437"/>
    <cellStyle name="Accent3 6" xfId="438"/>
    <cellStyle name="Accent4" xfId="439"/>
    <cellStyle name="Accent4 2" xfId="440"/>
    <cellStyle name="Accent4 3" xfId="441"/>
    <cellStyle name="Accent4 4" xfId="442"/>
    <cellStyle name="Accent4 5" xfId="443"/>
    <cellStyle name="Accent4 6" xfId="444"/>
    <cellStyle name="Accent5" xfId="445"/>
    <cellStyle name="Accent5 2" xfId="446"/>
    <cellStyle name="Accent5 3" xfId="447"/>
    <cellStyle name="Accent5 4" xfId="448"/>
    <cellStyle name="Accent5 5" xfId="449"/>
    <cellStyle name="Accent5 6" xfId="450"/>
    <cellStyle name="Accent6" xfId="451"/>
    <cellStyle name="Accent6 2" xfId="452"/>
    <cellStyle name="Accent6 3" xfId="453"/>
    <cellStyle name="Accent6 4" xfId="454"/>
    <cellStyle name="Accent6 5" xfId="455"/>
    <cellStyle name="Accent6 6" xfId="456"/>
    <cellStyle name="Bad" xfId="457"/>
    <cellStyle name="Bad 2" xfId="458"/>
    <cellStyle name="Bad 3" xfId="459"/>
    <cellStyle name="Bad 4" xfId="460"/>
    <cellStyle name="Bad 5" xfId="461"/>
    <cellStyle name="Bad 6" xfId="462"/>
    <cellStyle name="blp_column_header" xfId="463"/>
    <cellStyle name="Calculation" xfId="464"/>
    <cellStyle name="Calculation 2" xfId="465"/>
    <cellStyle name="Calculation 3" xfId="466"/>
    <cellStyle name="Calculation 4" xfId="467"/>
    <cellStyle name="Calculation 5" xfId="468"/>
    <cellStyle name="Calculation 6" xfId="469"/>
    <cellStyle name="Check Cell" xfId="470"/>
    <cellStyle name="Check Cell 2" xfId="471"/>
    <cellStyle name="Check Cell 3" xfId="472"/>
    <cellStyle name="Check Cell 4" xfId="473"/>
    <cellStyle name="Check Cell 5" xfId="474"/>
    <cellStyle name="Check Cell 6" xfId="475"/>
    <cellStyle name="Comma" xfId="476"/>
    <cellStyle name="Comma [0]" xfId="1030"/>
    <cellStyle name="Comma 10" xfId="477"/>
    <cellStyle name="Comma 2" xfId="478"/>
    <cellStyle name="Comma 2 2" xfId="479"/>
    <cellStyle name="Comma 2 2 2" xfId="480"/>
    <cellStyle name="Comma 2 2 3" xfId="481"/>
    <cellStyle name="Comma 2 2 4" xfId="482"/>
    <cellStyle name="Comma 2 2 5" xfId="483"/>
    <cellStyle name="Comma 2 2 6" xfId="484"/>
    <cellStyle name="Comma 2 2 7" xfId="485"/>
    <cellStyle name="Comma 2 3" xfId="486"/>
    <cellStyle name="Comma 2 3 2" xfId="487"/>
    <cellStyle name="Comma 2 3 3" xfId="488"/>
    <cellStyle name="Comma 2 3 4" xfId="489"/>
    <cellStyle name="Comma 2 4" xfId="490"/>
    <cellStyle name="Comma 2 5" xfId="491"/>
    <cellStyle name="Comma 2 6" xfId="492"/>
    <cellStyle name="Comma 2 7" xfId="493"/>
    <cellStyle name="Comma 3" xfId="494"/>
    <cellStyle name="Comma 3 10" xfId="495"/>
    <cellStyle name="Comma 3 2" xfId="496"/>
    <cellStyle name="Comma 3 2 2" xfId="497"/>
    <cellStyle name="Comma 3 2 2 2" xfId="498"/>
    <cellStyle name="Comma 3 2 2 3" xfId="499"/>
    <cellStyle name="Comma 3 2 3" xfId="500"/>
    <cellStyle name="Comma 3 2 4" xfId="501"/>
    <cellStyle name="Comma 3 3" xfId="502"/>
    <cellStyle name="Comma 3 3 2" xfId="503"/>
    <cellStyle name="Comma 3 3 3" xfId="504"/>
    <cellStyle name="Comma 3 3 4" xfId="505"/>
    <cellStyle name="Comma 3 3 5" xfId="506"/>
    <cellStyle name="Comma 3 3 6" xfId="507"/>
    <cellStyle name="Comma 3 4" xfId="508"/>
    <cellStyle name="Comma 3 5" xfId="509"/>
    <cellStyle name="Comma 3 6" xfId="510"/>
    <cellStyle name="Comma 3 7" xfId="511"/>
    <cellStyle name="Comma 3 8" xfId="512"/>
    <cellStyle name="Comma 3 9" xfId="513"/>
    <cellStyle name="Comma 4" xfId="514"/>
    <cellStyle name="Comma 4 2" xfId="515"/>
    <cellStyle name="Comma 4 2 2" xfId="516"/>
    <cellStyle name="Comma 4 2 2 2" xfId="517"/>
    <cellStyle name="Comma 4 2 3" xfId="518"/>
    <cellStyle name="Comma 4 2 3 2" xfId="519"/>
    <cellStyle name="Comma 4 2 3 3" xfId="520"/>
    <cellStyle name="Comma 4 2 3 4" xfId="521"/>
    <cellStyle name="Comma 4 2 4" xfId="522"/>
    <cellStyle name="Comma 4 2 5" xfId="523"/>
    <cellStyle name="Comma 4 3" xfId="524"/>
    <cellStyle name="Comma 4 4" xfId="525"/>
    <cellStyle name="Comma 4 5" xfId="526"/>
    <cellStyle name="Comma 4 6" xfId="527"/>
    <cellStyle name="Comma 4 7" xfId="528"/>
    <cellStyle name="Comma 4 8" xfId="529"/>
    <cellStyle name="Comma 5" xfId="530"/>
    <cellStyle name="Comma 5 2" xfId="531"/>
    <cellStyle name="Comma 5 2 2" xfId="532"/>
    <cellStyle name="Comma 5 3" xfId="533"/>
    <cellStyle name="Comma 5 3 2" xfId="534"/>
    <cellStyle name="Comma 5 3 3" xfId="535"/>
    <cellStyle name="Comma 5 3 4" xfId="536"/>
    <cellStyle name="Comma 5 4" xfId="537"/>
    <cellStyle name="Comma 5 5" xfId="538"/>
    <cellStyle name="Comma 5 6" xfId="539"/>
    <cellStyle name="Comma 5 7" xfId="540"/>
    <cellStyle name="Comma 5 8" xfId="541"/>
    <cellStyle name="Comma 6" xfId="542"/>
    <cellStyle name="Comma 6 2" xfId="543"/>
    <cellStyle name="Comma 6 3" xfId="544"/>
    <cellStyle name="Comma 6 4" xfId="545"/>
    <cellStyle name="Comma 7" xfId="546"/>
    <cellStyle name="Comma 7 2" xfId="547"/>
    <cellStyle name="Comma 7 3" xfId="548"/>
    <cellStyle name="Comma 7 4" xfId="549"/>
    <cellStyle name="Comma 7 5" xfId="550"/>
    <cellStyle name="Comma 8" xfId="551"/>
    <cellStyle name="Comma 8 2" xfId="552"/>
    <cellStyle name="Comma 9" xfId="553"/>
    <cellStyle name="Comma 9 2" xfId="554"/>
    <cellStyle name="Comma 9 3" xfId="555"/>
    <cellStyle name="Currency" xfId="556"/>
    <cellStyle name="Currency [0]" xfId="1023"/>
    <cellStyle name="Explanatory Text" xfId="557"/>
    <cellStyle name="Explanatory Text 2" xfId="558"/>
    <cellStyle name="Explanatory Text 3" xfId="559"/>
    <cellStyle name="Explanatory Text 4" xfId="560"/>
    <cellStyle name="Explanatory Text 5" xfId="561"/>
    <cellStyle name="Explanatory Text 6" xfId="562"/>
    <cellStyle name="Followed Hyperlink" xfId="952"/>
    <cellStyle name="Good" xfId="563"/>
    <cellStyle name="Good 2" xfId="564"/>
    <cellStyle name="Good 3" xfId="565"/>
    <cellStyle name="Good 4" xfId="566"/>
    <cellStyle name="Good 5" xfId="567"/>
    <cellStyle name="Good 6" xfId="568"/>
    <cellStyle name="Heading 1" xfId="569"/>
    <cellStyle name="Heading 1 2" xfId="570"/>
    <cellStyle name="Heading 1 3" xfId="571"/>
    <cellStyle name="Heading 1 4" xfId="572"/>
    <cellStyle name="Heading 1 5" xfId="573"/>
    <cellStyle name="Heading 1 6" xfId="574"/>
    <cellStyle name="Heading 2" xfId="575"/>
    <cellStyle name="Heading 2 2" xfId="576"/>
    <cellStyle name="Heading 2 3" xfId="577"/>
    <cellStyle name="Heading 2 4" xfId="578"/>
    <cellStyle name="Heading 2 5" xfId="579"/>
    <cellStyle name="Heading 2 6" xfId="580"/>
    <cellStyle name="Heading 3" xfId="581"/>
    <cellStyle name="Heading 3 2" xfId="582"/>
    <cellStyle name="Heading 3 3" xfId="583"/>
    <cellStyle name="Heading 3 4" xfId="584"/>
    <cellStyle name="Heading 3 5" xfId="585"/>
    <cellStyle name="Heading 3 6" xfId="586"/>
    <cellStyle name="Heading 4" xfId="587"/>
    <cellStyle name="Heading 4 2" xfId="588"/>
    <cellStyle name="Heading 4 3" xfId="589"/>
    <cellStyle name="Heading 4 4" xfId="590"/>
    <cellStyle name="Heading 4 5" xfId="591"/>
    <cellStyle name="Heading 4 6" xfId="592"/>
    <cellStyle name="Hyperlink" xfId="950"/>
    <cellStyle name="Hyperlink 2" xfId="593"/>
    <cellStyle name="Input" xfId="594"/>
    <cellStyle name="Input 2" xfId="595"/>
    <cellStyle name="Input 3" xfId="596"/>
    <cellStyle name="Input 4" xfId="597"/>
    <cellStyle name="Input 5" xfId="598"/>
    <cellStyle name="Input 6" xfId="599"/>
    <cellStyle name="Linked Cell" xfId="600"/>
    <cellStyle name="Linked Cell 2" xfId="601"/>
    <cellStyle name="Linked Cell 3" xfId="602"/>
    <cellStyle name="Linked Cell 4" xfId="603"/>
    <cellStyle name="Linked Cell 5" xfId="604"/>
    <cellStyle name="Linked Cell 6" xfId="605"/>
    <cellStyle name="Neutral" xfId="606"/>
    <cellStyle name="Neutral 2" xfId="607"/>
    <cellStyle name="Neutral 3" xfId="608"/>
    <cellStyle name="Neutral 4" xfId="609"/>
    <cellStyle name="Neutral 5" xfId="610"/>
    <cellStyle name="Neutral 6" xfId="611"/>
    <cellStyle name="Normal" xfId="0" builtinId="0"/>
    <cellStyle name="Normal 10" xfId="612"/>
    <cellStyle name="Normal 10 2" xfId="613"/>
    <cellStyle name="Normal 10 2 2" xfId="614"/>
    <cellStyle name="Normal 10 2 3" xfId="615"/>
    <cellStyle name="Normal 10 2 4" xfId="616"/>
    <cellStyle name="Normal 10 2 5" xfId="617"/>
    <cellStyle name="Normal 10 2 6" xfId="618"/>
    <cellStyle name="Normal 10 2 7" xfId="619"/>
    <cellStyle name="Normal 10 3" xfId="620"/>
    <cellStyle name="Normal 10 3 2" xfId="621"/>
    <cellStyle name="Normal 10 3 3" xfId="622"/>
    <cellStyle name="Normal 10 3 4" xfId="623"/>
    <cellStyle name="Normal 10 4" xfId="624"/>
    <cellStyle name="Normal 10 5" xfId="625"/>
    <cellStyle name="Normal 10 6" xfId="626"/>
    <cellStyle name="Normal 10 7" xfId="627"/>
    <cellStyle name="Normal 10 8" xfId="628"/>
    <cellStyle name="Normal 11" xfId="629"/>
    <cellStyle name="Normal 11 2" xfId="630"/>
    <cellStyle name="Normal 11 2 2" xfId="631"/>
    <cellStyle name="Normal 11 3" xfId="632"/>
    <cellStyle name="Normal 11 4" xfId="633"/>
    <cellStyle name="Normal 12" xfId="634"/>
    <cellStyle name="Normal 12 2" xfId="635"/>
    <cellStyle name="Normal 12 3" xfId="636"/>
    <cellStyle name="Normal 12 4" xfId="637"/>
    <cellStyle name="Normal 13" xfId="638"/>
    <cellStyle name="Normal 14" xfId="639"/>
    <cellStyle name="Normal 15" xfId="640"/>
    <cellStyle name="Normal 16" xfId="641"/>
    <cellStyle name="Normal 17" xfId="642"/>
    <cellStyle name="Normal 18" xfId="643"/>
    <cellStyle name="Normal 19" xfId="644"/>
    <cellStyle name="Normal 19 2" xfId="645"/>
    <cellStyle name="Normal 19 3" xfId="646"/>
    <cellStyle name="Normal 2" xfId="647"/>
    <cellStyle name="Normal 2 10" xfId="648"/>
    <cellStyle name="Normal 2 10 2" xfId="649"/>
    <cellStyle name="Normal 2 2" xfId="650"/>
    <cellStyle name="Normal 2 2 2" xfId="651"/>
    <cellStyle name="Normal 2 2 2 2" xfId="652"/>
    <cellStyle name="Normal 2 2 2 3" xfId="653"/>
    <cellStyle name="Normal 2 2 2 4" xfId="654"/>
    <cellStyle name="Normal 2 2 2 5" xfId="655"/>
    <cellStyle name="Normal 2 2 2 6" xfId="656"/>
    <cellStyle name="Normal 2 2 2 7" xfId="657"/>
    <cellStyle name="Normal 2 2 2 7 2" xfId="658"/>
    <cellStyle name="Normal 2 2 2 7 3" xfId="659"/>
    <cellStyle name="Normal 2 2 2 7 4" xfId="660"/>
    <cellStyle name="Normal 2 2 3" xfId="661"/>
    <cellStyle name="Normal 2 2 3 2" xfId="662"/>
    <cellStyle name="Normal 2 2 3 3" xfId="663"/>
    <cellStyle name="Normal 2 2 3 4" xfId="664"/>
    <cellStyle name="Normal 2 2 3 5" xfId="665"/>
    <cellStyle name="Normal 2 2 4" xfId="666"/>
    <cellStyle name="Normal 2 2 5" xfId="667"/>
    <cellStyle name="Normal 2 2 6" xfId="668"/>
    <cellStyle name="Normal 2 2 7" xfId="669"/>
    <cellStyle name="Normal 2 2 8" xfId="670"/>
    <cellStyle name="Normal 2 2 9" xfId="671"/>
    <cellStyle name="Normal 2 2 9 2" xfId="672"/>
    <cellStyle name="Normal 2 2 9 3" xfId="673"/>
    <cellStyle name="Normal 2 3" xfId="674"/>
    <cellStyle name="Normal 2 3 2" xfId="675"/>
    <cellStyle name="Normal 2 3 3" xfId="676"/>
    <cellStyle name="Normal 2 3 4" xfId="677"/>
    <cellStyle name="Normal 2 3 5" xfId="678"/>
    <cellStyle name="Normal 2 3 6" xfId="679"/>
    <cellStyle name="Normal 2 3 7" xfId="680"/>
    <cellStyle name="Normal 2 3 8" xfId="681"/>
    <cellStyle name="Normal 2 3 8 2" xfId="682"/>
    <cellStyle name="Normal 2 3 8 3" xfId="683"/>
    <cellStyle name="Normal 2 4" xfId="684"/>
    <cellStyle name="Normal 2 4 2" xfId="685"/>
    <cellStyle name="Normal 2 4 3" xfId="686"/>
    <cellStyle name="Normal 2 4 4" xfId="687"/>
    <cellStyle name="Normal 2 5" xfId="688"/>
    <cellStyle name="Normal 2 5 2" xfId="689"/>
    <cellStyle name="Normal 2 5 3" xfId="690"/>
    <cellStyle name="Normal 2 6" xfId="691"/>
    <cellStyle name="Normal 2 7" xfId="692"/>
    <cellStyle name="Normal 2 7 2" xfId="693"/>
    <cellStyle name="Normal 2 7 3" xfId="694"/>
    <cellStyle name="Normal 2 8" xfId="695"/>
    <cellStyle name="Normal 2 9" xfId="696"/>
    <cellStyle name="Normal 20" xfId="697"/>
    <cellStyle name="Normal 21" xfId="698"/>
    <cellStyle name="Normal 22" xfId="699"/>
    <cellStyle name="Normal 23" xfId="700"/>
    <cellStyle name="Normal 24" xfId="701"/>
    <cellStyle name="Normal 25" xfId="702"/>
    <cellStyle name="Normal 26" xfId="703"/>
    <cellStyle name="Normal 3" xfId="704"/>
    <cellStyle name="Normal 3 10" xfId="705"/>
    <cellStyle name="Normal 3 11" xfId="706"/>
    <cellStyle name="Normal 3 12" xfId="707"/>
    <cellStyle name="Normal 3 13" xfId="708"/>
    <cellStyle name="Normal 3 2" xfId="709"/>
    <cellStyle name="Normal 3 2 2" xfId="710"/>
    <cellStyle name="Normal 3 2 3" xfId="711"/>
    <cellStyle name="Normal 3 2 4" xfId="712"/>
    <cellStyle name="Normal 3 2 5" xfId="713"/>
    <cellStyle name="Normal 3 2 6" xfId="714"/>
    <cellStyle name="Normal 3 2 6 2" xfId="715"/>
    <cellStyle name="Normal 3 2 6 3" xfId="716"/>
    <cellStyle name="Normal 3 3" xfId="717"/>
    <cellStyle name="Normal 3 3 2" xfId="718"/>
    <cellStyle name="Normal 3 3 2 2" xfId="719"/>
    <cellStyle name="Normal 3 4" xfId="720"/>
    <cellStyle name="Normal 3 4 2" xfId="721"/>
    <cellStyle name="Normal 3 4 3" xfId="722"/>
    <cellStyle name="Normal 3 5" xfId="723"/>
    <cellStyle name="Normal 3 6" xfId="724"/>
    <cellStyle name="Normal 3 7" xfId="725"/>
    <cellStyle name="Normal 3 8" xfId="726"/>
    <cellStyle name="Normal 3 9" xfId="727"/>
    <cellStyle name="Normal 4" xfId="728"/>
    <cellStyle name="Normal 4 10" xfId="729"/>
    <cellStyle name="Normal 4 11" xfId="730"/>
    <cellStyle name="Normal 4 2" xfId="731"/>
    <cellStyle name="Normal 4 2 2" xfId="732"/>
    <cellStyle name="Normal 4 2 2 2" xfId="733"/>
    <cellStyle name="Normal 4 2 2 3" xfId="734"/>
    <cellStyle name="Normal 4 2 3" xfId="735"/>
    <cellStyle name="Normal 4 2 4" xfId="736"/>
    <cellStyle name="Normal 4 2 5" xfId="737"/>
    <cellStyle name="Normal 4 2 6" xfId="738"/>
    <cellStyle name="Normal 4 2 7" xfId="739"/>
    <cellStyle name="Normal 4 2 7 2" xfId="740"/>
    <cellStyle name="Normal 4 2 7 3" xfId="741"/>
    <cellStyle name="Normal 4 3" xfId="742"/>
    <cellStyle name="Normal 4 3 2" xfId="743"/>
    <cellStyle name="Normal 4 3 3" xfId="744"/>
    <cellStyle name="Normal 4 3 4" xfId="745"/>
    <cellStyle name="Normal 4 3 5" xfId="746"/>
    <cellStyle name="Normal 4 3 6" xfId="747"/>
    <cellStyle name="Normal 4 4" xfId="748"/>
    <cellStyle name="Normal 4 5" xfId="749"/>
    <cellStyle name="Normal 4 6" xfId="750"/>
    <cellStyle name="Normal 4 7" xfId="751"/>
    <cellStyle name="Normal 4 7 2" xfId="752"/>
    <cellStyle name="Normal 4 7 3" xfId="753"/>
    <cellStyle name="Normal 4 7 4" xfId="754"/>
    <cellStyle name="Normal 4 7 5" xfId="755"/>
    <cellStyle name="Normal 4 8" xfId="756"/>
    <cellStyle name="Normal 4 9" xfId="757"/>
    <cellStyle name="Normal 5" xfId="758"/>
    <cellStyle name="Normal 5 2" xfId="759"/>
    <cellStyle name="Normal 5 2 2" xfId="760"/>
    <cellStyle name="Normal 5 2 3" xfId="761"/>
    <cellStyle name="Normal 5 2 4" xfId="762"/>
    <cellStyle name="Normal 5 3" xfId="763"/>
    <cellStyle name="Normal 5 3 2" xfId="764"/>
    <cellStyle name="Normal 5 3 3" xfId="765"/>
    <cellStyle name="Normal 5 4" xfId="766"/>
    <cellStyle name="Normal 5 5" xfId="767"/>
    <cellStyle name="Normal 5 5 2" xfId="768"/>
    <cellStyle name="Normal 5 5 3" xfId="769"/>
    <cellStyle name="Normal 5 5 4" xfId="770"/>
    <cellStyle name="Normal 5 5 4 2" xfId="771"/>
    <cellStyle name="Normal 5 6" xfId="772"/>
    <cellStyle name="Normal 5 7" xfId="773"/>
    <cellStyle name="Normal 5 8" xfId="774"/>
    <cellStyle name="Normal 5 9" xfId="775"/>
    <cellStyle name="Normal 6" xfId="776"/>
    <cellStyle name="Normal 6 2" xfId="777"/>
    <cellStyle name="Normal 6 2 2" xfId="778"/>
    <cellStyle name="Normal 6 2 3" xfId="779"/>
    <cellStyle name="Normal 6 2 4" xfId="780"/>
    <cellStyle name="Normal 6 3" xfId="781"/>
    <cellStyle name="Normal 6 3 2" xfId="782"/>
    <cellStyle name="Normal 6 3 3" xfId="783"/>
    <cellStyle name="Normal 6 3 4" xfId="784"/>
    <cellStyle name="Normal 6 3 5" xfId="785"/>
    <cellStyle name="Normal 6 3 6" xfId="786"/>
    <cellStyle name="Normal 6 4" xfId="787"/>
    <cellStyle name="Normal 6 5" xfId="788"/>
    <cellStyle name="Normal 6 6" xfId="789"/>
    <cellStyle name="Normal 6 7" xfId="790"/>
    <cellStyle name="Normal 6 8" xfId="791"/>
    <cellStyle name="Normal 6 9" xfId="792"/>
    <cellStyle name="Normal 7" xfId="793"/>
    <cellStyle name="Normal 7 2" xfId="794"/>
    <cellStyle name="Normal 7 2 2" xfId="795"/>
    <cellStyle name="Normal 7 2 2 2" xfId="796"/>
    <cellStyle name="Normal 7 2 3" xfId="797"/>
    <cellStyle name="Normal 7 2 3 2" xfId="798"/>
    <cellStyle name="Normal 7 2 3 3" xfId="799"/>
    <cellStyle name="Normal 7 2 3 4" xfId="800"/>
    <cellStyle name="Normal 7 3" xfId="801"/>
    <cellStyle name="Normal 7 4" xfId="802"/>
    <cellStyle name="Normal 7 4 2" xfId="803"/>
    <cellStyle name="Normal 7 4 3" xfId="804"/>
    <cellStyle name="Normal 7 4 4" xfId="805"/>
    <cellStyle name="Normal 7 4 4 2" xfId="806"/>
    <cellStyle name="Normal 7 5" xfId="807"/>
    <cellStyle name="Normal 7 5 2" xfId="808"/>
    <cellStyle name="Normal 7 5 3" xfId="809"/>
    <cellStyle name="Normal 7 6" xfId="810"/>
    <cellStyle name="Normal 7 7" xfId="811"/>
    <cellStyle name="Normal 7 8" xfId="812"/>
    <cellStyle name="Normal 7 9" xfId="813"/>
    <cellStyle name="Normal 8" xfId="814"/>
    <cellStyle name="Normal 8 2" xfId="815"/>
    <cellStyle name="Normal 8 2 2" xfId="816"/>
    <cellStyle name="Normal 8 2 3" xfId="817"/>
    <cellStyle name="Normal 8 3" xfId="818"/>
    <cellStyle name="Normal 8 3 2" xfId="819"/>
    <cellStyle name="Normal 8 3 3" xfId="820"/>
    <cellStyle name="Normal 8 3 4" xfId="821"/>
    <cellStyle name="Normal 8 3 5" xfId="822"/>
    <cellStyle name="Normal 8 3 5 2" xfId="823"/>
    <cellStyle name="Normal 8 4" xfId="824"/>
    <cellStyle name="Normal 8 5" xfId="825"/>
    <cellStyle name="Normal 8 6" xfId="826"/>
    <cellStyle name="Normal 8 6 2" xfId="827"/>
    <cellStyle name="Normal 9" xfId="828"/>
    <cellStyle name="Normal 9 2" xfId="829"/>
    <cellStyle name="Normal 9 3" xfId="830"/>
    <cellStyle name="Note" xfId="831"/>
    <cellStyle name="Note 2" xfId="832"/>
    <cellStyle name="Note 3" xfId="833"/>
    <cellStyle name="Note 4" xfId="834"/>
    <cellStyle name="Note 5" xfId="835"/>
    <cellStyle name="Note 6" xfId="836"/>
    <cellStyle name="Output" xfId="837"/>
    <cellStyle name="Output 2" xfId="838"/>
    <cellStyle name="Output 3" xfId="839"/>
    <cellStyle name="Output 4" xfId="840"/>
    <cellStyle name="Output 5" xfId="841"/>
    <cellStyle name="Output 6" xfId="842"/>
    <cellStyle name="Percent" xfId="843"/>
    <cellStyle name="Percent 10" xfId="844"/>
    <cellStyle name="Percent 10 2" xfId="845"/>
    <cellStyle name="Percent 10 2 2" xfId="846"/>
    <cellStyle name="Percent 10 3" xfId="847"/>
    <cellStyle name="Percent 11" xfId="848"/>
    <cellStyle name="Percent 12" xfId="849"/>
    <cellStyle name="Percent 2" xfId="850"/>
    <cellStyle name="Percent 2 2" xfId="851"/>
    <cellStyle name="Percent 2 2 2" xfId="852"/>
    <cellStyle name="Percent 2 2 3" xfId="853"/>
    <cellStyle name="Percent 2 2 4" xfId="854"/>
    <cellStyle name="Percent 2 2 5" xfId="855"/>
    <cellStyle name="Percent 2 3" xfId="856"/>
    <cellStyle name="Percent 2 4" xfId="857"/>
    <cellStyle name="Percent 2 4 2" xfId="858"/>
    <cellStyle name="Percent 2 4 3" xfId="859"/>
    <cellStyle name="Percent 2 4 4" xfId="860"/>
    <cellStyle name="Percent 2 4 5" xfId="861"/>
    <cellStyle name="Percent 2 4 6" xfId="862"/>
    <cellStyle name="Percent 2 4 7" xfId="863"/>
    <cellStyle name="Percent 2 4 8" xfId="864"/>
    <cellStyle name="Percent 2 5" xfId="865"/>
    <cellStyle name="Percent 2 6" xfId="866"/>
    <cellStyle name="Percent 2 7" xfId="867"/>
    <cellStyle name="Percent 22" xfId="868"/>
    <cellStyle name="Percent 3" xfId="869"/>
    <cellStyle name="Percent 3 2" xfId="870"/>
    <cellStyle name="Percent 3 2 2" xfId="871"/>
    <cellStyle name="Percent 3 2 3" xfId="872"/>
    <cellStyle name="Percent 3 2 4" xfId="873"/>
    <cellStyle name="Percent 3 3" xfId="874"/>
    <cellStyle name="Percent 3 3 2" xfId="875"/>
    <cellStyle name="Percent 3 3 3" xfId="876"/>
    <cellStyle name="Percent 3 3 4" xfId="877"/>
    <cellStyle name="Percent 3 4" xfId="878"/>
    <cellStyle name="Percent 3 5" xfId="879"/>
    <cellStyle name="Percent 3 6" xfId="880"/>
    <cellStyle name="Percent 3 7" xfId="881"/>
    <cellStyle name="Percent 4" xfId="882"/>
    <cellStyle name="Percent 4 2" xfId="883"/>
    <cellStyle name="Percent 4 2 2" xfId="884"/>
    <cellStyle name="Percent 4 2 2 2" xfId="885"/>
    <cellStyle name="Percent 4 2 2 3" xfId="886"/>
    <cellStyle name="Percent 4 2 2 4" xfId="887"/>
    <cellStyle name="Percent 4 2 3" xfId="888"/>
    <cellStyle name="Percent 4 2 3 2" xfId="889"/>
    <cellStyle name="Percent 4 2 3 3" xfId="890"/>
    <cellStyle name="Percent 4 2 3 4" xfId="891"/>
    <cellStyle name="Percent 4 2 4" xfId="892"/>
    <cellStyle name="Percent 4 2 5" xfId="893"/>
    <cellStyle name="Percent 4 3" xfId="894"/>
    <cellStyle name="Percent 4 3 2" xfId="895"/>
    <cellStyle name="Percent 4 3 3" xfId="896"/>
    <cellStyle name="Percent 4 4" xfId="897"/>
    <cellStyle name="Percent 4 5" xfId="898"/>
    <cellStyle name="Percent 4 6" xfId="899"/>
    <cellStyle name="Percent 4 7" xfId="900"/>
    <cellStyle name="Percent 5" xfId="901"/>
    <cellStyle name="Percent 5 2" xfId="902"/>
    <cellStyle name="Percent 5 2 2" xfId="903"/>
    <cellStyle name="Percent 5 2 3" xfId="904"/>
    <cellStyle name="Percent 5 2 4" xfId="905"/>
    <cellStyle name="Percent 5 3" xfId="906"/>
    <cellStyle name="Percent 5 3 2" xfId="907"/>
    <cellStyle name="Percent 5 3 3" xfId="908"/>
    <cellStyle name="Percent 5 3 4" xfId="909"/>
    <cellStyle name="Percent 5 4" xfId="910"/>
    <cellStyle name="Percent 5 5" xfId="911"/>
    <cellStyle name="Percent 6" xfId="912"/>
    <cellStyle name="Percent 7" xfId="913"/>
    <cellStyle name="Percent 8" xfId="914"/>
    <cellStyle name="Percent 8 2" xfId="915"/>
    <cellStyle name="Percent 8 3" xfId="916"/>
    <cellStyle name="Percent 9" xfId="917"/>
    <cellStyle name="Percent 9 2" xfId="918"/>
    <cellStyle name="Percent 9 3" xfId="919"/>
    <cellStyle name="Title" xfId="920"/>
    <cellStyle name="Title 2" xfId="921"/>
    <cellStyle name="Title 3" xfId="922"/>
    <cellStyle name="Title 4" xfId="923"/>
    <cellStyle name="Title 5" xfId="924"/>
    <cellStyle name="Title 6" xfId="925"/>
    <cellStyle name="Total" xfId="926"/>
    <cellStyle name="Total 2" xfId="927"/>
    <cellStyle name="Total 3" xfId="928"/>
    <cellStyle name="Total 4" xfId="929"/>
    <cellStyle name="Total 5" xfId="930"/>
    <cellStyle name="Total 6" xfId="931"/>
    <cellStyle name="Warning Text" xfId="932"/>
    <cellStyle name="Warning Text 2" xfId="933"/>
    <cellStyle name="Warning Text 3" xfId="934"/>
    <cellStyle name="Warning Text 4" xfId="935"/>
    <cellStyle name="Warning Text 5" xfId="936"/>
    <cellStyle name="Warning Text 6" xfId="937"/>
    <cellStyle name="הדגשה1" xfId="938"/>
    <cellStyle name="הדגשה1 2" xfId="939"/>
    <cellStyle name="הדגשה2" xfId="940"/>
    <cellStyle name="הדגשה2 2" xfId="941"/>
    <cellStyle name="הדגשה3" xfId="942"/>
    <cellStyle name="הדגשה3 2" xfId="943"/>
    <cellStyle name="הדגשה4" xfId="944"/>
    <cellStyle name="הדגשה4 2" xfId="945"/>
    <cellStyle name="הדגשה5" xfId="946"/>
    <cellStyle name="הדגשה5 2" xfId="947"/>
    <cellStyle name="הדגשה6" xfId="948"/>
    <cellStyle name="הדגשה6 2" xfId="949"/>
    <cellStyle name="היפר-קישור 2" xfId="951"/>
    <cellStyle name="הערה" xfId="953"/>
    <cellStyle name="הערה 2" xfId="954"/>
    <cellStyle name="הערה 2 2" xfId="955"/>
    <cellStyle name="הערה 2 2 2" xfId="956"/>
    <cellStyle name="הערה 2 2 2 2" xfId="957"/>
    <cellStyle name="הערה 2 2 2 3" xfId="958"/>
    <cellStyle name="הערה 2 2 2 4" xfId="959"/>
    <cellStyle name="הערה 2 2 3" xfId="960"/>
    <cellStyle name="הערה 2 2 4" xfId="961"/>
    <cellStyle name="הערה 2 2 5" xfId="962"/>
    <cellStyle name="הערה 2 3" xfId="963"/>
    <cellStyle name="הערה 2 3 2" xfId="964"/>
    <cellStyle name="הערה 2 3 3" xfId="965"/>
    <cellStyle name="הערה 2 3 4" xfId="966"/>
    <cellStyle name="הערה 2 4" xfId="967"/>
    <cellStyle name="הערה 2 5" xfId="968"/>
    <cellStyle name="הערה 3" xfId="969"/>
    <cellStyle name="הערה 3 2" xfId="970"/>
    <cellStyle name="הערה 3 2 2" xfId="971"/>
    <cellStyle name="הערה 3 2 2 2" xfId="972"/>
    <cellStyle name="הערה 3 2 3" xfId="973"/>
    <cellStyle name="הערה 3 3" xfId="974"/>
    <cellStyle name="הערה 3 3 2" xfId="975"/>
    <cellStyle name="הערה 3 4" xfId="976"/>
    <cellStyle name="הערה 3 5" xfId="977"/>
    <cellStyle name="הערה 3 6" xfId="978"/>
    <cellStyle name="הערה 3 7" xfId="979"/>
    <cellStyle name="הערה 4" xfId="980"/>
    <cellStyle name="הערה 4 2" xfId="981"/>
    <cellStyle name="הערה 4 2 2" xfId="982"/>
    <cellStyle name="הערה 4 2 3" xfId="983"/>
    <cellStyle name="הערה 4 2 4" xfId="984"/>
    <cellStyle name="הערה 4 3" xfId="985"/>
    <cellStyle name="הערה 4 4" xfId="986"/>
    <cellStyle name="הערה 4 5" xfId="987"/>
    <cellStyle name="הערה 4 6" xfId="988"/>
    <cellStyle name="הערה 5" xfId="989"/>
    <cellStyle name="הערה 5 2" xfId="990"/>
    <cellStyle name="הערה 5 3" xfId="991"/>
    <cellStyle name="הערה 5 4" xfId="992"/>
    <cellStyle name="הערה 5 5" xfId="993"/>
    <cellStyle name="הערה 6" xfId="994"/>
    <cellStyle name="הערה 6 2" xfId="995"/>
    <cellStyle name="הערה 6 3" xfId="996"/>
    <cellStyle name="הערה 6 4" xfId="997"/>
    <cellStyle name="הערה 7" xfId="998"/>
    <cellStyle name="הערה 7 2" xfId="999"/>
    <cellStyle name="הערה 7 3" xfId="1000"/>
    <cellStyle name="הערה 7 4" xfId="1001"/>
    <cellStyle name="הערה 8" xfId="1002"/>
    <cellStyle name="הערה 8 2" xfId="1003"/>
    <cellStyle name="חישוב" xfId="1004"/>
    <cellStyle name="חישוב 2" xfId="1005"/>
    <cellStyle name="טוב" xfId="1006"/>
    <cellStyle name="טוב 2" xfId="1007"/>
    <cellStyle name="טקסט אזהרה" xfId="1008"/>
    <cellStyle name="טקסט אזהרה 2" xfId="1009"/>
    <cellStyle name="טקסט הסברי" xfId="1010"/>
    <cellStyle name="טקסט הסברי 2" xfId="1011"/>
    <cellStyle name="כותרת" xfId="1012"/>
    <cellStyle name="כותרת 1" xfId="1013"/>
    <cellStyle name="כותרת 1 2" xfId="1014"/>
    <cellStyle name="כותרת 2" xfId="1015"/>
    <cellStyle name="כותרת 2 2" xfId="1016"/>
    <cellStyle name="כותרת 3" xfId="1017"/>
    <cellStyle name="כותרת 3 2" xfId="1018"/>
    <cellStyle name="כותרת 4" xfId="1019"/>
    <cellStyle name="כותרת 4 2" xfId="1020"/>
    <cellStyle name="כותרת 5" xfId="1021"/>
    <cellStyle name="כותרת 6" xfId="1022"/>
    <cellStyle name="ניטראלי" xfId="1024"/>
    <cellStyle name="ניטראלי 2" xfId="1025"/>
    <cellStyle name="סה&quot;כ" xfId="1026"/>
    <cellStyle name="סה&quot;כ 2" xfId="1027"/>
    <cellStyle name="פלט" xfId="1028"/>
    <cellStyle name="פלט 2" xfId="1029"/>
    <cellStyle name="קלט" xfId="1031"/>
    <cellStyle name="קלט 2" xfId="1032"/>
    <cellStyle name="רע" xfId="1033"/>
    <cellStyle name="רע 2" xfId="1034"/>
    <cellStyle name="תא מסומן" xfId="1035"/>
    <cellStyle name="תא מסומן 2" xfId="1036"/>
    <cellStyle name="תא מקושר" xfId="1037"/>
    <cellStyle name="תא מקושר 2" xfId="103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1.emf"/><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drawing7.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drawing8.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drawing9.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drawing10.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21</xdr:row>
      <xdr:rowOff>19348</xdr:rowOff>
    </xdr:from>
    <xdr:to>
      <xdr:col>6</xdr:col>
      <xdr:colOff>0</xdr:colOff>
      <xdr:row>24</xdr:row>
      <xdr:rowOff>161739</xdr:rowOff>
    </xdr:to>
    <xdr:pic>
      <xdr:nvPicPr>
        <xdr:cNvPr id="269" name="Picture 2"/>
        <xdr:cNvPicPr>
          <a:picLocks noChangeAspect="1"/>
        </xdr:cNvPicPr>
      </xdr:nvPicPr>
      <xdr:blipFill>
        <a:blip xmlns:r="http://schemas.openxmlformats.org/officeDocument/2006/relationships" r:embed="rId1"/>
        <a:stretch>
          <a:fillRect/>
        </a:stretch>
      </xdr:blipFill>
      <xdr:spPr>
        <a:xfrm>
          <a:off x="0" y="4514850"/>
          <a:ext cx="11163300" cy="704850"/>
        </a:xfrm>
        <a:prstGeom prst="rect">
          <a:avLst/>
        </a:prstGeom>
        <a:noFill/>
        <a:ln w="9525" cmpd="sng">
          <a:noFill/>
        </a:ln>
      </xdr:spPr>
    </xdr:pic>
    <xdr:clientData/>
  </xdr:twoCellAnchor>
  <xdr:twoCellAnchor>
    <xdr:from>
      <xdr:col>0</xdr:col>
      <xdr:colOff>0</xdr:colOff>
      <xdr:row>0</xdr:row>
      <xdr:rowOff>0</xdr:rowOff>
    </xdr:from>
    <xdr:to>
      <xdr:col>5</xdr:col>
      <xdr:colOff>4029521</xdr:colOff>
      <xdr:row>5</xdr:row>
      <xdr:rowOff>85576</xdr:rowOff>
    </xdr:to>
    <xdr:pic>
      <xdr:nvPicPr>
        <xdr:cNvPr id="270" name="Picture 1"/>
        <xdr:cNvPicPr>
          <a:picLocks noChangeAspect="1"/>
        </xdr:cNvPicPr>
      </xdr:nvPicPr>
      <xdr:blipFill>
        <a:blip xmlns:r="http://schemas.openxmlformats.org/officeDocument/2006/relationships" r:embed="rId2"/>
        <a:stretch>
          <a:fillRect/>
        </a:stretch>
      </xdr:blipFill>
      <xdr:spPr>
        <a:xfrm>
          <a:off x="0" y="0"/>
          <a:ext cx="10848975" cy="1057275"/>
        </a:xfrm>
        <a:prstGeom prst="rect">
          <a:avLst/>
        </a:prstGeom>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6</xdr:row>
      <xdr:rowOff>85576</xdr:rowOff>
    </xdr:to>
    <xdr:pic>
      <xdr:nvPicPr>
        <xdr:cNvPr id="269" name="Picture 1"/>
        <xdr:cNvPicPr>
          <a:picLocks noChangeAspect="1"/>
        </xdr:cNvPicPr>
      </xdr:nvPicPr>
      <xdr:blipFill>
        <a:blip xmlns:r="http://schemas.openxmlformats.org/officeDocument/2006/relationships" r:embed="rId1"/>
        <a:stretch>
          <a:fillRect/>
        </a:stretch>
      </xdr:blipFill>
      <xdr:spPr>
        <a:xfrm>
          <a:off x="11229975000" y="0"/>
          <a:ext cx="14192250" cy="1057126"/>
        </a:xfrm>
        <a:prstGeom prst="rect">
          <a:avLst/>
        </a:prstGeom>
        <a:noFill/>
        <a:ln w="9525" cmpd="sng">
          <a:noFill/>
        </a:ln>
      </xdr:spPr>
    </xdr:pic>
    <xdr:clientData/>
  </xdr:twoCellAnchor>
  <xdr:twoCellAnchor>
    <xdr:from>
      <xdr:col>0</xdr:col>
      <xdr:colOff>0</xdr:colOff>
      <xdr:row>22</xdr:row>
      <xdr:rowOff>9674</xdr:rowOff>
    </xdr:from>
    <xdr:to>
      <xdr:col>6</xdr:col>
      <xdr:colOff>0</xdr:colOff>
      <xdr:row>25</xdr:row>
      <xdr:rowOff>161888</xdr:rowOff>
    </xdr:to>
    <xdr:pic>
      <xdr:nvPicPr>
        <xdr:cNvPr id="270" name="Picture 2"/>
        <xdr:cNvPicPr>
          <a:picLocks noChangeAspect="1"/>
        </xdr:cNvPicPr>
      </xdr:nvPicPr>
      <xdr:blipFill>
        <a:blip xmlns:r="http://schemas.openxmlformats.org/officeDocument/2006/relationships" r:embed="rId2"/>
        <a:stretch>
          <a:fillRect/>
        </a:stretch>
      </xdr:blipFill>
      <xdr:spPr>
        <a:xfrm>
          <a:off x="0" y="4505325"/>
          <a:ext cx="11163300" cy="714375"/>
        </a:xfrm>
        <a:prstGeom prst="rect">
          <a:avLst/>
        </a:prstGeom>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21</xdr:row>
      <xdr:rowOff>19348</xdr:rowOff>
    </xdr:from>
    <xdr:to>
      <xdr:col>6</xdr:col>
      <xdr:colOff>0</xdr:colOff>
      <xdr:row>24</xdr:row>
      <xdr:rowOff>171785</xdr:rowOff>
    </xdr:to>
    <xdr:pic>
      <xdr:nvPicPr>
        <xdr:cNvPr id="1248" name="Picture 2"/>
        <xdr:cNvPicPr>
          <a:picLocks noChangeAspect="1"/>
        </xdr:cNvPicPr>
      </xdr:nvPicPr>
      <xdr:blipFill>
        <a:blip xmlns:r="http://schemas.openxmlformats.org/officeDocument/2006/relationships" r:embed="rId1"/>
        <a:stretch>
          <a:fillRect/>
        </a:stretch>
      </xdr:blipFill>
      <xdr:spPr>
        <a:xfrm>
          <a:off x="0" y="4362450"/>
          <a:ext cx="11163300" cy="714375"/>
        </a:xfrm>
        <a:prstGeom prst="rect">
          <a:avLst/>
        </a:prstGeom>
        <a:noFill/>
        <a:ln w="9525" cmpd="sng">
          <a:noFill/>
        </a:ln>
      </xdr:spPr>
    </xdr:pic>
    <xdr:clientData/>
  </xdr:twoCellAnchor>
  <xdr:twoCellAnchor>
    <xdr:from>
      <xdr:col>0</xdr:col>
      <xdr:colOff>0</xdr:colOff>
      <xdr:row>0</xdr:row>
      <xdr:rowOff>0</xdr:rowOff>
    </xdr:from>
    <xdr:to>
      <xdr:col>4</xdr:col>
      <xdr:colOff>0</xdr:colOff>
      <xdr:row>5</xdr:row>
      <xdr:rowOff>85725</xdr:rowOff>
    </xdr:to>
    <xdr:grpSp>
      <xdr:nvGrpSpPr>
        <xdr:cNvPr id="63" name="Group 19"/>
        <xdr:cNvGrpSpPr>
          <a:grpSpLocks noChangeAspect="1"/>
        </xdr:cNvGrpSpPr>
      </xdr:nvGrpSpPr>
      <xdr:grpSpPr bwMode="auto">
        <a:xfrm>
          <a:off x="11238414150" y="0"/>
          <a:ext cx="5791200" cy="1057275"/>
          <a:chOff x="18000" y="0"/>
          <a:chExt cx="1049" cy="111"/>
        </a:xfrm>
      </xdr:grpSpPr>
      <xdr:sp macro="" textlink="">
        <xdr:nvSpPr>
          <xdr:cNvPr id="64" name="AutoShape 18"/>
          <xdr:cNvSpPr>
            <a:spLocks noChangeAspect="1" noChangeArrowheads="1"/>
          </xdr:cNvSpPr>
        </xdr:nvSpPr>
        <xdr:spPr bwMode="auto">
          <a:xfrm>
            <a:off x="18000" y="0"/>
            <a:ext cx="1049" cy="1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5" name="תמונה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00" y="0"/>
            <a:ext cx="1049" cy="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6" name="תמונה 6"/>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000" y="0"/>
            <a:ext cx="983" cy="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7" name="תמונה 7"/>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010" y="0"/>
            <a:ext cx="674" cy="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68" name="Rectangle 23"/>
          <xdr:cNvSpPr>
            <a:spLocks noChangeArrowheads="1"/>
          </xdr:cNvSpPr>
        </xdr:nvSpPr>
        <xdr:spPr bwMode="auto">
          <a:xfrm>
            <a:off x="18069" y="69"/>
            <a:ext cx="132" cy="6"/>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pic>
        <xdr:nvPicPr>
          <xdr:cNvPr id="69" name="תמונה 9"/>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068" y="30"/>
            <a:ext cx="134" cy="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0" name="תמונה 10"/>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068" y="30"/>
            <a:ext cx="129" cy="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1" name="תמונה 11"/>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8076" y="30"/>
            <a:ext cx="76" cy="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2" name="תמונה 12"/>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8068" y="71"/>
            <a:ext cx="134" cy="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3" name="תמונה 13"/>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068" y="71"/>
            <a:ext cx="126" cy="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4" name="תמונה 14"/>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070" y="71"/>
            <a:ext cx="86" cy="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75" name="Freeform 30"/>
          <xdr:cNvSpPr>
            <a:spLocks noEditPoints="1"/>
          </xdr:cNvSpPr>
        </xdr:nvSpPr>
        <xdr:spPr bwMode="auto">
          <a:xfrm>
            <a:off x="18071" y="33"/>
            <a:ext cx="128" cy="76"/>
          </a:xfrm>
          <a:custGeom>
            <a:avLst/>
            <a:gdLst>
              <a:gd name="T0" fmla="*/ 0 w 128"/>
              <a:gd name="T1" fmla="*/ 76 h 76"/>
              <a:gd name="T2" fmla="*/ 0 w 128"/>
              <a:gd name="T3" fmla="*/ 0 h 76"/>
              <a:gd name="T4" fmla="*/ 128 w 128"/>
              <a:gd name="T5" fmla="*/ 0 h 76"/>
              <a:gd name="T6" fmla="*/ 128 w 128"/>
              <a:gd name="T7" fmla="*/ 75 h 76"/>
              <a:gd name="T8" fmla="*/ 128 w 128"/>
              <a:gd name="T9" fmla="*/ 76 h 76"/>
              <a:gd name="T10" fmla="*/ 0 w 128"/>
              <a:gd name="T11" fmla="*/ 76 h 76"/>
              <a:gd name="T12" fmla="*/ 0 w 128"/>
              <a:gd name="T13" fmla="*/ 76 h 76"/>
              <a:gd name="T14" fmla="*/ 127 w 128"/>
              <a:gd name="T15" fmla="*/ 75 h 76"/>
              <a:gd name="T16" fmla="*/ 127 w 128"/>
              <a:gd name="T17" fmla="*/ 75 h 76"/>
              <a:gd name="T18" fmla="*/ 127 w 128"/>
              <a:gd name="T19" fmla="*/ 75 h 76"/>
              <a:gd name="T20" fmla="*/ 127 w 128"/>
              <a:gd name="T21" fmla="*/ 75 h 76"/>
              <a:gd name="T22" fmla="*/ 2 w 128"/>
              <a:gd name="T23" fmla="*/ 75 h 76"/>
              <a:gd name="T24" fmla="*/ 126 w 128"/>
              <a:gd name="T25" fmla="*/ 75 h 76"/>
              <a:gd name="T26" fmla="*/ 126 w 128"/>
              <a:gd name="T27" fmla="*/ 1 h 76"/>
              <a:gd name="T28" fmla="*/ 2 w 128"/>
              <a:gd name="T29" fmla="*/ 1 h 76"/>
              <a:gd name="T30" fmla="*/ 2 w 128"/>
              <a:gd name="T31" fmla="*/ 75 h 76"/>
              <a:gd name="T32" fmla="*/ 2 w 128"/>
              <a:gd name="T33" fmla="*/ 75 h 7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128"/>
              <a:gd name="T52" fmla="*/ 0 h 76"/>
              <a:gd name="T53" fmla="*/ 128 w 128"/>
              <a:gd name="T54" fmla="*/ 76 h 7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128" h="76">
                <a:moveTo>
                  <a:pt x="0" y="76"/>
                </a:moveTo>
                <a:lnTo>
                  <a:pt x="0" y="0"/>
                </a:lnTo>
                <a:lnTo>
                  <a:pt x="128" y="0"/>
                </a:lnTo>
                <a:lnTo>
                  <a:pt x="128" y="75"/>
                </a:lnTo>
                <a:lnTo>
                  <a:pt x="128" y="76"/>
                </a:lnTo>
                <a:lnTo>
                  <a:pt x="0" y="76"/>
                </a:lnTo>
                <a:close/>
                <a:moveTo>
                  <a:pt x="127" y="75"/>
                </a:moveTo>
                <a:lnTo>
                  <a:pt x="127" y="75"/>
                </a:lnTo>
                <a:close/>
                <a:moveTo>
                  <a:pt x="2" y="75"/>
                </a:moveTo>
                <a:lnTo>
                  <a:pt x="126" y="75"/>
                </a:lnTo>
                <a:lnTo>
                  <a:pt x="126" y="1"/>
                </a:lnTo>
                <a:lnTo>
                  <a:pt x="2" y="1"/>
                </a:lnTo>
                <a:lnTo>
                  <a:pt x="2" y="75"/>
                </a:lnTo>
                <a:close/>
              </a:path>
            </a:pathLst>
          </a:custGeom>
          <a:solidFill>
            <a:srgbClr val="FFFF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76" name="Freeform 31"/>
          <xdr:cNvSpPr>
            <a:spLocks noEditPoints="1"/>
          </xdr:cNvSpPr>
        </xdr:nvSpPr>
        <xdr:spPr bwMode="auto">
          <a:xfrm>
            <a:off x="18096" y="41"/>
            <a:ext cx="78" cy="20"/>
          </a:xfrm>
          <a:custGeom>
            <a:avLst/>
            <a:gdLst>
              <a:gd name="T0" fmla="*/ 0 w 228"/>
              <a:gd name="T1" fmla="*/ 0 h 64"/>
              <a:gd name="T2" fmla="*/ 0 w 228"/>
              <a:gd name="T3" fmla="*/ 0 h 64"/>
              <a:gd name="T4" fmla="*/ 0 w 228"/>
              <a:gd name="T5" fmla="*/ 0 h 64"/>
              <a:gd name="T6" fmla="*/ 0 w 228"/>
              <a:gd name="T7" fmla="*/ 0 h 64"/>
              <a:gd name="T8" fmla="*/ 0 w 228"/>
              <a:gd name="T9" fmla="*/ 0 h 64"/>
              <a:gd name="T10" fmla="*/ 0 w 228"/>
              <a:gd name="T11" fmla="*/ 0 h 64"/>
              <a:gd name="T12" fmla="*/ 0 w 228"/>
              <a:gd name="T13" fmla="*/ 0 h 64"/>
              <a:gd name="T14" fmla="*/ 0 w 228"/>
              <a:gd name="T15" fmla="*/ 0 h 64"/>
              <a:gd name="T16" fmla="*/ 0 w 228"/>
              <a:gd name="T17" fmla="*/ 0 h 64"/>
              <a:gd name="T18" fmla="*/ 0 w 228"/>
              <a:gd name="T19" fmla="*/ 0 h 64"/>
              <a:gd name="T20" fmla="*/ 0 w 228"/>
              <a:gd name="T21" fmla="*/ 0 h 64"/>
              <a:gd name="T22" fmla="*/ 0 w 228"/>
              <a:gd name="T23" fmla="*/ 0 h 64"/>
              <a:gd name="T24" fmla="*/ 0 w 228"/>
              <a:gd name="T25" fmla="*/ 0 h 64"/>
              <a:gd name="T26" fmla="*/ 0 w 228"/>
              <a:gd name="T27" fmla="*/ 0 h 64"/>
              <a:gd name="T28" fmla="*/ 0 w 228"/>
              <a:gd name="T29" fmla="*/ 0 h 64"/>
              <a:gd name="T30" fmla="*/ 0 w 228"/>
              <a:gd name="T31" fmla="*/ 0 h 64"/>
              <a:gd name="T32" fmla="*/ 0 w 228"/>
              <a:gd name="T33" fmla="*/ 0 h 64"/>
              <a:gd name="T34" fmla="*/ 0 w 228"/>
              <a:gd name="T35" fmla="*/ 0 h 64"/>
              <a:gd name="T36" fmla="*/ 0 w 228"/>
              <a:gd name="T37" fmla="*/ 0 h 64"/>
              <a:gd name="T38" fmla="*/ 0 w 228"/>
              <a:gd name="T39" fmla="*/ 0 h 64"/>
              <a:gd name="T40" fmla="*/ 0 w 228"/>
              <a:gd name="T41" fmla="*/ 0 h 64"/>
              <a:gd name="T42" fmla="*/ 0 w 228"/>
              <a:gd name="T43" fmla="*/ 0 h 64"/>
              <a:gd name="T44" fmla="*/ 0 w 228"/>
              <a:gd name="T45" fmla="*/ 0 h 64"/>
              <a:gd name="T46" fmla="*/ 0 w 228"/>
              <a:gd name="T47" fmla="*/ 0 h 64"/>
              <a:gd name="T48" fmla="*/ 0 w 228"/>
              <a:gd name="T49" fmla="*/ 0 h 64"/>
              <a:gd name="T50" fmla="*/ 0 w 228"/>
              <a:gd name="T51" fmla="*/ 0 h 64"/>
              <a:gd name="T52" fmla="*/ 0 w 228"/>
              <a:gd name="T53" fmla="*/ 0 h 64"/>
              <a:gd name="T54" fmla="*/ 0 w 228"/>
              <a:gd name="T55" fmla="*/ 0 h 64"/>
              <a:gd name="T56" fmla="*/ 0 w 228"/>
              <a:gd name="T57" fmla="*/ 0 h 64"/>
              <a:gd name="T58" fmla="*/ 0 w 228"/>
              <a:gd name="T59" fmla="*/ 0 h 64"/>
              <a:gd name="T60" fmla="*/ 0 w 228"/>
              <a:gd name="T61" fmla="*/ 0 h 64"/>
              <a:gd name="T62" fmla="*/ 0 w 228"/>
              <a:gd name="T63" fmla="*/ 0 h 64"/>
              <a:gd name="T64" fmla="*/ 0 w 228"/>
              <a:gd name="T65" fmla="*/ 0 h 64"/>
              <a:gd name="T66" fmla="*/ 0 w 228"/>
              <a:gd name="T67" fmla="*/ 0 h 64"/>
              <a:gd name="T68" fmla="*/ 0 w 228"/>
              <a:gd name="T69" fmla="*/ 0 h 64"/>
              <a:gd name="T70" fmla="*/ 0 w 228"/>
              <a:gd name="T71" fmla="*/ 0 h 64"/>
              <a:gd name="T72" fmla="*/ 0 w 228"/>
              <a:gd name="T73" fmla="*/ 0 h 64"/>
              <a:gd name="T74" fmla="*/ 0 w 228"/>
              <a:gd name="T75" fmla="*/ 0 h 64"/>
              <a:gd name="T76" fmla="*/ 0 w 228"/>
              <a:gd name="T77" fmla="*/ 0 h 64"/>
              <a:gd name="T78" fmla="*/ 0 w 228"/>
              <a:gd name="T79" fmla="*/ 0 h 64"/>
              <a:gd name="T80" fmla="*/ 0 w 228"/>
              <a:gd name="T81" fmla="*/ 0 h 64"/>
              <a:gd name="T82" fmla="*/ 0 w 228"/>
              <a:gd name="T83" fmla="*/ 0 h 64"/>
              <a:gd name="T84" fmla="*/ 0 w 228"/>
              <a:gd name="T85" fmla="*/ 0 h 64"/>
              <a:gd name="T86" fmla="*/ 0 w 228"/>
              <a:gd name="T87" fmla="*/ 0 h 64"/>
              <a:gd name="T88" fmla="*/ 0 w 228"/>
              <a:gd name="T89" fmla="*/ 0 h 64"/>
              <a:gd name="T90" fmla="*/ 0 w 228"/>
              <a:gd name="T91" fmla="*/ 0 h 64"/>
              <a:gd name="T92" fmla="*/ 0 w 228"/>
              <a:gd name="T93" fmla="*/ 0 h 64"/>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w 228"/>
              <a:gd name="T142" fmla="*/ 0 h 64"/>
              <a:gd name="T143" fmla="*/ 228 w 228"/>
              <a:gd name="T144" fmla="*/ 64 h 64"/>
            </a:gdLst>
            <a:ahLst/>
            <a:cxnLst>
              <a:cxn ang="T94">
                <a:pos x="T0" y="T1"/>
              </a:cxn>
              <a:cxn ang="T95">
                <a:pos x="T2" y="T3"/>
              </a:cxn>
              <a:cxn ang="T96">
                <a:pos x="T4" y="T5"/>
              </a:cxn>
              <a:cxn ang="T97">
                <a:pos x="T6" y="T7"/>
              </a:cxn>
              <a:cxn ang="T98">
                <a:pos x="T8" y="T9"/>
              </a:cxn>
              <a:cxn ang="T99">
                <a:pos x="T10" y="T11"/>
              </a:cxn>
              <a:cxn ang="T100">
                <a:pos x="T12" y="T13"/>
              </a:cxn>
              <a:cxn ang="T101">
                <a:pos x="T14" y="T15"/>
              </a:cxn>
              <a:cxn ang="T102">
                <a:pos x="T16" y="T17"/>
              </a:cxn>
              <a:cxn ang="T103">
                <a:pos x="T18" y="T19"/>
              </a:cxn>
              <a:cxn ang="T104">
                <a:pos x="T20" y="T21"/>
              </a:cxn>
              <a:cxn ang="T105">
                <a:pos x="T22" y="T23"/>
              </a:cxn>
              <a:cxn ang="T106">
                <a:pos x="T24" y="T25"/>
              </a:cxn>
              <a:cxn ang="T107">
                <a:pos x="T26" y="T27"/>
              </a:cxn>
              <a:cxn ang="T108">
                <a:pos x="T28" y="T29"/>
              </a:cxn>
              <a:cxn ang="T109">
                <a:pos x="T30" y="T31"/>
              </a:cxn>
              <a:cxn ang="T110">
                <a:pos x="T32" y="T33"/>
              </a:cxn>
              <a:cxn ang="T111">
                <a:pos x="T34" y="T35"/>
              </a:cxn>
              <a:cxn ang="T112">
                <a:pos x="T36" y="T37"/>
              </a:cxn>
              <a:cxn ang="T113">
                <a:pos x="T38" y="T39"/>
              </a:cxn>
              <a:cxn ang="T114">
                <a:pos x="T40" y="T41"/>
              </a:cxn>
              <a:cxn ang="T115">
                <a:pos x="T42" y="T43"/>
              </a:cxn>
              <a:cxn ang="T116">
                <a:pos x="T44" y="T45"/>
              </a:cxn>
              <a:cxn ang="T117">
                <a:pos x="T46" y="T47"/>
              </a:cxn>
              <a:cxn ang="T118">
                <a:pos x="T48" y="T49"/>
              </a:cxn>
              <a:cxn ang="T119">
                <a:pos x="T50" y="T51"/>
              </a:cxn>
              <a:cxn ang="T120">
                <a:pos x="T52" y="T53"/>
              </a:cxn>
              <a:cxn ang="T121">
                <a:pos x="T54" y="T55"/>
              </a:cxn>
              <a:cxn ang="T122">
                <a:pos x="T56" y="T57"/>
              </a:cxn>
              <a:cxn ang="T123">
                <a:pos x="T58" y="T59"/>
              </a:cxn>
              <a:cxn ang="T124">
                <a:pos x="T60" y="T61"/>
              </a:cxn>
              <a:cxn ang="T125">
                <a:pos x="T62" y="T63"/>
              </a:cxn>
              <a:cxn ang="T126">
                <a:pos x="T64" y="T65"/>
              </a:cxn>
              <a:cxn ang="T127">
                <a:pos x="T66" y="T67"/>
              </a:cxn>
              <a:cxn ang="T128">
                <a:pos x="T68" y="T69"/>
              </a:cxn>
              <a:cxn ang="T129">
                <a:pos x="T70" y="T71"/>
              </a:cxn>
              <a:cxn ang="T130">
                <a:pos x="T72" y="T73"/>
              </a:cxn>
              <a:cxn ang="T131">
                <a:pos x="T74" y="T75"/>
              </a:cxn>
              <a:cxn ang="T132">
                <a:pos x="T76" y="T77"/>
              </a:cxn>
              <a:cxn ang="T133">
                <a:pos x="T78" y="T79"/>
              </a:cxn>
              <a:cxn ang="T134">
                <a:pos x="T80" y="T81"/>
              </a:cxn>
              <a:cxn ang="T135">
                <a:pos x="T82" y="T83"/>
              </a:cxn>
              <a:cxn ang="T136">
                <a:pos x="T84" y="T85"/>
              </a:cxn>
              <a:cxn ang="T137">
                <a:pos x="T86" y="T87"/>
              </a:cxn>
              <a:cxn ang="T138">
                <a:pos x="T88" y="T89"/>
              </a:cxn>
              <a:cxn ang="T139">
                <a:pos x="T90" y="T91"/>
              </a:cxn>
              <a:cxn ang="T140">
                <a:pos x="T92" y="T93"/>
              </a:cxn>
            </a:cxnLst>
            <a:rect l="T141" t="T142" r="T143" b="T144"/>
            <a:pathLst>
              <a:path w="228" h="64">
                <a:moveTo>
                  <a:pt x="30" y="17"/>
                </a:moveTo>
                <a:cubicBezTo>
                  <a:pt x="28" y="17"/>
                  <a:pt x="26" y="17"/>
                  <a:pt x="23" y="19"/>
                </a:cubicBezTo>
                <a:cubicBezTo>
                  <a:pt x="22" y="20"/>
                  <a:pt x="20" y="23"/>
                  <a:pt x="19" y="29"/>
                </a:cubicBezTo>
                <a:cubicBezTo>
                  <a:pt x="20" y="29"/>
                  <a:pt x="20" y="29"/>
                  <a:pt x="20" y="29"/>
                </a:cubicBezTo>
                <a:cubicBezTo>
                  <a:pt x="22" y="27"/>
                  <a:pt x="25" y="26"/>
                  <a:pt x="28" y="26"/>
                </a:cubicBezTo>
                <a:cubicBezTo>
                  <a:pt x="31" y="26"/>
                  <a:pt x="33" y="27"/>
                  <a:pt x="35" y="30"/>
                </a:cubicBezTo>
                <a:cubicBezTo>
                  <a:pt x="36" y="32"/>
                  <a:pt x="37" y="35"/>
                  <a:pt x="37" y="39"/>
                </a:cubicBezTo>
                <a:cubicBezTo>
                  <a:pt x="37" y="42"/>
                  <a:pt x="36" y="46"/>
                  <a:pt x="34" y="49"/>
                </a:cubicBezTo>
                <a:cubicBezTo>
                  <a:pt x="31" y="52"/>
                  <a:pt x="28" y="54"/>
                  <a:pt x="25" y="54"/>
                </a:cubicBezTo>
                <a:cubicBezTo>
                  <a:pt x="17" y="54"/>
                  <a:pt x="14" y="49"/>
                  <a:pt x="14" y="39"/>
                </a:cubicBezTo>
                <a:cubicBezTo>
                  <a:pt x="14" y="38"/>
                  <a:pt x="14" y="36"/>
                  <a:pt x="14" y="34"/>
                </a:cubicBezTo>
                <a:cubicBezTo>
                  <a:pt x="14" y="31"/>
                  <a:pt x="14" y="30"/>
                  <a:pt x="14" y="29"/>
                </a:cubicBezTo>
                <a:cubicBezTo>
                  <a:pt x="14" y="25"/>
                  <a:pt x="14" y="22"/>
                  <a:pt x="12" y="21"/>
                </a:cubicBezTo>
                <a:cubicBezTo>
                  <a:pt x="11" y="20"/>
                  <a:pt x="10" y="19"/>
                  <a:pt x="8" y="19"/>
                </a:cubicBezTo>
                <a:cubicBezTo>
                  <a:pt x="7" y="17"/>
                  <a:pt x="7" y="16"/>
                  <a:pt x="6" y="15"/>
                </a:cubicBezTo>
                <a:cubicBezTo>
                  <a:pt x="5" y="15"/>
                  <a:pt x="5" y="15"/>
                  <a:pt x="5" y="15"/>
                </a:cubicBezTo>
                <a:cubicBezTo>
                  <a:pt x="0" y="24"/>
                  <a:pt x="0" y="24"/>
                  <a:pt x="0" y="24"/>
                </a:cubicBezTo>
                <a:cubicBezTo>
                  <a:pt x="0" y="24"/>
                  <a:pt x="1" y="25"/>
                  <a:pt x="2" y="26"/>
                </a:cubicBezTo>
                <a:cubicBezTo>
                  <a:pt x="3" y="27"/>
                  <a:pt x="4" y="27"/>
                  <a:pt x="5" y="28"/>
                </a:cubicBezTo>
                <a:cubicBezTo>
                  <a:pt x="7" y="29"/>
                  <a:pt x="8" y="32"/>
                  <a:pt x="8" y="36"/>
                </a:cubicBezTo>
                <a:cubicBezTo>
                  <a:pt x="8" y="46"/>
                  <a:pt x="9" y="52"/>
                  <a:pt x="11" y="55"/>
                </a:cubicBezTo>
                <a:cubicBezTo>
                  <a:pt x="13" y="60"/>
                  <a:pt x="17" y="63"/>
                  <a:pt x="23" y="63"/>
                </a:cubicBezTo>
                <a:cubicBezTo>
                  <a:pt x="28" y="63"/>
                  <a:pt x="33" y="60"/>
                  <a:pt x="38" y="54"/>
                </a:cubicBezTo>
                <a:cubicBezTo>
                  <a:pt x="42" y="48"/>
                  <a:pt x="44" y="42"/>
                  <a:pt x="44" y="35"/>
                </a:cubicBezTo>
                <a:cubicBezTo>
                  <a:pt x="44" y="30"/>
                  <a:pt x="43" y="26"/>
                  <a:pt x="40" y="23"/>
                </a:cubicBezTo>
                <a:cubicBezTo>
                  <a:pt x="38" y="19"/>
                  <a:pt x="34" y="17"/>
                  <a:pt x="30" y="17"/>
                </a:cubicBezTo>
                <a:close/>
                <a:moveTo>
                  <a:pt x="82" y="19"/>
                </a:moveTo>
                <a:cubicBezTo>
                  <a:pt x="59" y="19"/>
                  <a:pt x="59" y="19"/>
                  <a:pt x="59" y="19"/>
                </a:cubicBezTo>
                <a:cubicBezTo>
                  <a:pt x="58" y="19"/>
                  <a:pt x="57" y="19"/>
                  <a:pt x="56" y="18"/>
                </a:cubicBezTo>
                <a:cubicBezTo>
                  <a:pt x="55" y="17"/>
                  <a:pt x="55" y="16"/>
                  <a:pt x="55" y="15"/>
                </a:cubicBezTo>
                <a:cubicBezTo>
                  <a:pt x="53" y="15"/>
                  <a:pt x="53" y="15"/>
                  <a:pt x="53" y="15"/>
                </a:cubicBezTo>
                <a:cubicBezTo>
                  <a:pt x="48" y="24"/>
                  <a:pt x="48" y="24"/>
                  <a:pt x="48" y="24"/>
                </a:cubicBezTo>
                <a:cubicBezTo>
                  <a:pt x="49" y="25"/>
                  <a:pt x="50" y="25"/>
                  <a:pt x="51" y="26"/>
                </a:cubicBezTo>
                <a:cubicBezTo>
                  <a:pt x="52" y="27"/>
                  <a:pt x="53" y="27"/>
                  <a:pt x="53" y="28"/>
                </a:cubicBezTo>
                <a:cubicBezTo>
                  <a:pt x="54" y="29"/>
                  <a:pt x="55" y="30"/>
                  <a:pt x="55" y="32"/>
                </a:cubicBezTo>
                <a:cubicBezTo>
                  <a:pt x="56" y="37"/>
                  <a:pt x="56" y="37"/>
                  <a:pt x="56" y="37"/>
                </a:cubicBezTo>
                <a:cubicBezTo>
                  <a:pt x="56" y="45"/>
                  <a:pt x="57" y="52"/>
                  <a:pt x="59" y="55"/>
                </a:cubicBezTo>
                <a:cubicBezTo>
                  <a:pt x="61" y="61"/>
                  <a:pt x="65" y="63"/>
                  <a:pt x="71" y="63"/>
                </a:cubicBezTo>
                <a:cubicBezTo>
                  <a:pt x="77" y="63"/>
                  <a:pt x="82" y="60"/>
                  <a:pt x="86" y="54"/>
                </a:cubicBezTo>
                <a:cubicBezTo>
                  <a:pt x="90" y="48"/>
                  <a:pt x="92" y="42"/>
                  <a:pt x="92" y="35"/>
                </a:cubicBezTo>
                <a:cubicBezTo>
                  <a:pt x="92" y="31"/>
                  <a:pt x="91" y="27"/>
                  <a:pt x="89" y="24"/>
                </a:cubicBezTo>
                <a:cubicBezTo>
                  <a:pt x="88" y="21"/>
                  <a:pt x="85" y="19"/>
                  <a:pt x="82" y="19"/>
                </a:cubicBezTo>
                <a:close/>
                <a:moveTo>
                  <a:pt x="82" y="49"/>
                </a:moveTo>
                <a:cubicBezTo>
                  <a:pt x="79" y="52"/>
                  <a:pt x="76" y="54"/>
                  <a:pt x="73" y="54"/>
                </a:cubicBezTo>
                <a:cubicBezTo>
                  <a:pt x="69" y="54"/>
                  <a:pt x="66" y="53"/>
                  <a:pt x="64" y="50"/>
                </a:cubicBezTo>
                <a:cubicBezTo>
                  <a:pt x="63" y="47"/>
                  <a:pt x="62" y="43"/>
                  <a:pt x="62" y="39"/>
                </a:cubicBezTo>
                <a:cubicBezTo>
                  <a:pt x="62" y="34"/>
                  <a:pt x="62" y="31"/>
                  <a:pt x="62" y="28"/>
                </a:cubicBezTo>
                <a:cubicBezTo>
                  <a:pt x="80" y="28"/>
                  <a:pt x="80" y="28"/>
                  <a:pt x="80" y="28"/>
                </a:cubicBezTo>
                <a:cubicBezTo>
                  <a:pt x="82" y="28"/>
                  <a:pt x="83" y="29"/>
                  <a:pt x="84" y="31"/>
                </a:cubicBezTo>
                <a:cubicBezTo>
                  <a:pt x="85" y="33"/>
                  <a:pt x="85" y="36"/>
                  <a:pt x="85" y="39"/>
                </a:cubicBezTo>
                <a:cubicBezTo>
                  <a:pt x="85" y="42"/>
                  <a:pt x="84" y="46"/>
                  <a:pt x="82" y="49"/>
                </a:cubicBezTo>
                <a:close/>
                <a:moveTo>
                  <a:pt x="108" y="19"/>
                </a:moveTo>
                <a:cubicBezTo>
                  <a:pt x="105" y="18"/>
                  <a:pt x="103" y="17"/>
                  <a:pt x="103" y="15"/>
                </a:cubicBezTo>
                <a:cubicBezTo>
                  <a:pt x="101" y="15"/>
                  <a:pt x="101" y="15"/>
                  <a:pt x="101" y="15"/>
                </a:cubicBezTo>
                <a:cubicBezTo>
                  <a:pt x="99" y="19"/>
                  <a:pt x="98" y="22"/>
                  <a:pt x="97" y="24"/>
                </a:cubicBezTo>
                <a:cubicBezTo>
                  <a:pt x="98" y="25"/>
                  <a:pt x="99" y="26"/>
                  <a:pt x="100" y="26"/>
                </a:cubicBezTo>
                <a:cubicBezTo>
                  <a:pt x="101" y="27"/>
                  <a:pt x="102" y="27"/>
                  <a:pt x="104" y="28"/>
                </a:cubicBezTo>
                <a:cubicBezTo>
                  <a:pt x="105" y="28"/>
                  <a:pt x="106" y="29"/>
                  <a:pt x="106" y="30"/>
                </a:cubicBezTo>
                <a:cubicBezTo>
                  <a:pt x="107" y="30"/>
                  <a:pt x="107" y="31"/>
                  <a:pt x="107" y="33"/>
                </a:cubicBezTo>
                <a:cubicBezTo>
                  <a:pt x="107" y="37"/>
                  <a:pt x="105" y="42"/>
                  <a:pt x="102" y="47"/>
                </a:cubicBezTo>
                <a:cubicBezTo>
                  <a:pt x="104" y="48"/>
                  <a:pt x="104" y="48"/>
                  <a:pt x="104" y="48"/>
                </a:cubicBezTo>
                <a:cubicBezTo>
                  <a:pt x="106" y="46"/>
                  <a:pt x="108" y="44"/>
                  <a:pt x="111" y="40"/>
                </a:cubicBezTo>
                <a:cubicBezTo>
                  <a:pt x="113" y="35"/>
                  <a:pt x="115" y="31"/>
                  <a:pt x="115" y="27"/>
                </a:cubicBezTo>
                <a:cubicBezTo>
                  <a:pt x="115" y="25"/>
                  <a:pt x="114" y="23"/>
                  <a:pt x="113" y="22"/>
                </a:cubicBezTo>
                <a:cubicBezTo>
                  <a:pt x="112" y="21"/>
                  <a:pt x="110" y="20"/>
                  <a:pt x="108" y="19"/>
                </a:cubicBezTo>
                <a:close/>
                <a:moveTo>
                  <a:pt x="149" y="21"/>
                </a:moveTo>
                <a:cubicBezTo>
                  <a:pt x="148" y="20"/>
                  <a:pt x="145" y="19"/>
                  <a:pt x="142" y="19"/>
                </a:cubicBezTo>
                <a:cubicBezTo>
                  <a:pt x="130" y="19"/>
                  <a:pt x="130" y="19"/>
                  <a:pt x="130" y="19"/>
                </a:cubicBezTo>
                <a:cubicBezTo>
                  <a:pt x="129" y="19"/>
                  <a:pt x="128" y="19"/>
                  <a:pt x="128" y="19"/>
                </a:cubicBezTo>
                <a:cubicBezTo>
                  <a:pt x="127" y="18"/>
                  <a:pt x="127" y="17"/>
                  <a:pt x="127" y="15"/>
                </a:cubicBezTo>
                <a:cubicBezTo>
                  <a:pt x="127" y="14"/>
                  <a:pt x="127" y="13"/>
                  <a:pt x="128" y="11"/>
                </a:cubicBezTo>
                <a:cubicBezTo>
                  <a:pt x="128" y="9"/>
                  <a:pt x="128" y="8"/>
                  <a:pt x="128" y="6"/>
                </a:cubicBezTo>
                <a:cubicBezTo>
                  <a:pt x="128" y="4"/>
                  <a:pt x="128" y="2"/>
                  <a:pt x="127" y="0"/>
                </a:cubicBezTo>
                <a:cubicBezTo>
                  <a:pt x="125" y="0"/>
                  <a:pt x="125" y="0"/>
                  <a:pt x="125" y="0"/>
                </a:cubicBezTo>
                <a:cubicBezTo>
                  <a:pt x="120" y="8"/>
                  <a:pt x="120" y="8"/>
                  <a:pt x="120" y="8"/>
                </a:cubicBezTo>
                <a:cubicBezTo>
                  <a:pt x="121" y="11"/>
                  <a:pt x="121" y="14"/>
                  <a:pt x="121" y="17"/>
                </a:cubicBezTo>
                <a:cubicBezTo>
                  <a:pt x="121" y="18"/>
                  <a:pt x="121" y="18"/>
                  <a:pt x="121" y="20"/>
                </a:cubicBezTo>
                <a:cubicBezTo>
                  <a:pt x="121" y="21"/>
                  <a:pt x="121" y="22"/>
                  <a:pt x="121" y="22"/>
                </a:cubicBezTo>
                <a:cubicBezTo>
                  <a:pt x="121" y="24"/>
                  <a:pt x="121" y="25"/>
                  <a:pt x="122" y="26"/>
                </a:cubicBezTo>
                <a:cubicBezTo>
                  <a:pt x="123" y="27"/>
                  <a:pt x="124" y="28"/>
                  <a:pt x="126" y="28"/>
                </a:cubicBezTo>
                <a:cubicBezTo>
                  <a:pt x="140" y="28"/>
                  <a:pt x="140" y="28"/>
                  <a:pt x="140" y="28"/>
                </a:cubicBezTo>
                <a:cubicBezTo>
                  <a:pt x="144" y="28"/>
                  <a:pt x="145" y="30"/>
                  <a:pt x="145" y="35"/>
                </a:cubicBezTo>
                <a:cubicBezTo>
                  <a:pt x="145" y="38"/>
                  <a:pt x="145" y="40"/>
                  <a:pt x="143" y="43"/>
                </a:cubicBezTo>
                <a:cubicBezTo>
                  <a:pt x="141" y="45"/>
                  <a:pt x="139" y="47"/>
                  <a:pt x="136" y="49"/>
                </a:cubicBezTo>
                <a:cubicBezTo>
                  <a:pt x="134" y="51"/>
                  <a:pt x="131" y="52"/>
                  <a:pt x="129" y="54"/>
                </a:cubicBezTo>
                <a:cubicBezTo>
                  <a:pt x="128" y="58"/>
                  <a:pt x="128" y="61"/>
                  <a:pt x="127" y="63"/>
                </a:cubicBezTo>
                <a:cubicBezTo>
                  <a:pt x="128" y="64"/>
                  <a:pt x="128" y="64"/>
                  <a:pt x="128" y="64"/>
                </a:cubicBezTo>
                <a:cubicBezTo>
                  <a:pt x="130" y="63"/>
                  <a:pt x="132" y="61"/>
                  <a:pt x="137" y="58"/>
                </a:cubicBezTo>
                <a:cubicBezTo>
                  <a:pt x="141" y="54"/>
                  <a:pt x="144" y="51"/>
                  <a:pt x="144" y="50"/>
                </a:cubicBezTo>
                <a:cubicBezTo>
                  <a:pt x="150" y="44"/>
                  <a:pt x="152" y="37"/>
                  <a:pt x="152" y="29"/>
                </a:cubicBezTo>
                <a:cubicBezTo>
                  <a:pt x="152" y="25"/>
                  <a:pt x="151" y="23"/>
                  <a:pt x="149" y="21"/>
                </a:cubicBezTo>
                <a:close/>
                <a:moveTo>
                  <a:pt x="178" y="43"/>
                </a:moveTo>
                <a:cubicBezTo>
                  <a:pt x="178" y="41"/>
                  <a:pt x="178" y="39"/>
                  <a:pt x="179" y="35"/>
                </a:cubicBezTo>
                <a:cubicBezTo>
                  <a:pt x="179" y="32"/>
                  <a:pt x="179" y="29"/>
                  <a:pt x="179" y="28"/>
                </a:cubicBezTo>
                <a:cubicBezTo>
                  <a:pt x="179" y="25"/>
                  <a:pt x="178" y="23"/>
                  <a:pt x="176" y="22"/>
                </a:cubicBezTo>
                <a:cubicBezTo>
                  <a:pt x="175" y="21"/>
                  <a:pt x="173" y="20"/>
                  <a:pt x="170" y="19"/>
                </a:cubicBezTo>
                <a:cubicBezTo>
                  <a:pt x="168" y="18"/>
                  <a:pt x="166" y="17"/>
                  <a:pt x="165" y="15"/>
                </a:cubicBezTo>
                <a:cubicBezTo>
                  <a:pt x="164" y="15"/>
                  <a:pt x="164" y="15"/>
                  <a:pt x="164" y="15"/>
                </a:cubicBezTo>
                <a:cubicBezTo>
                  <a:pt x="162" y="19"/>
                  <a:pt x="161" y="22"/>
                  <a:pt x="160" y="24"/>
                </a:cubicBezTo>
                <a:cubicBezTo>
                  <a:pt x="161" y="25"/>
                  <a:pt x="163" y="27"/>
                  <a:pt x="167" y="28"/>
                </a:cubicBezTo>
                <a:cubicBezTo>
                  <a:pt x="169" y="29"/>
                  <a:pt x="171" y="30"/>
                  <a:pt x="171" y="32"/>
                </a:cubicBezTo>
                <a:cubicBezTo>
                  <a:pt x="172" y="33"/>
                  <a:pt x="172" y="35"/>
                  <a:pt x="172" y="38"/>
                </a:cubicBezTo>
                <a:cubicBezTo>
                  <a:pt x="172" y="41"/>
                  <a:pt x="172" y="46"/>
                  <a:pt x="172" y="53"/>
                </a:cubicBezTo>
                <a:cubicBezTo>
                  <a:pt x="169" y="53"/>
                  <a:pt x="169" y="53"/>
                  <a:pt x="169" y="53"/>
                </a:cubicBezTo>
                <a:cubicBezTo>
                  <a:pt x="166" y="53"/>
                  <a:pt x="164" y="53"/>
                  <a:pt x="160" y="53"/>
                </a:cubicBezTo>
                <a:cubicBezTo>
                  <a:pt x="159" y="62"/>
                  <a:pt x="159" y="62"/>
                  <a:pt x="159" y="62"/>
                </a:cubicBezTo>
                <a:cubicBezTo>
                  <a:pt x="165" y="62"/>
                  <a:pt x="169" y="62"/>
                  <a:pt x="170" y="62"/>
                </a:cubicBezTo>
                <a:cubicBezTo>
                  <a:pt x="178" y="62"/>
                  <a:pt x="178" y="62"/>
                  <a:pt x="178" y="62"/>
                </a:cubicBezTo>
                <a:cubicBezTo>
                  <a:pt x="179" y="54"/>
                  <a:pt x="179" y="54"/>
                  <a:pt x="179" y="54"/>
                </a:cubicBezTo>
                <a:cubicBezTo>
                  <a:pt x="178" y="51"/>
                  <a:pt x="178" y="47"/>
                  <a:pt x="178" y="43"/>
                </a:cubicBezTo>
                <a:close/>
                <a:moveTo>
                  <a:pt x="218" y="43"/>
                </a:moveTo>
                <a:cubicBezTo>
                  <a:pt x="224" y="37"/>
                  <a:pt x="227" y="32"/>
                  <a:pt x="227" y="27"/>
                </a:cubicBezTo>
                <a:cubicBezTo>
                  <a:pt x="227" y="25"/>
                  <a:pt x="225" y="23"/>
                  <a:pt x="222" y="21"/>
                </a:cubicBezTo>
                <a:cubicBezTo>
                  <a:pt x="220" y="18"/>
                  <a:pt x="218" y="17"/>
                  <a:pt x="218" y="15"/>
                </a:cubicBezTo>
                <a:cubicBezTo>
                  <a:pt x="216" y="15"/>
                  <a:pt x="216" y="15"/>
                  <a:pt x="216" y="15"/>
                </a:cubicBezTo>
                <a:cubicBezTo>
                  <a:pt x="213" y="20"/>
                  <a:pt x="212" y="23"/>
                  <a:pt x="212" y="23"/>
                </a:cubicBezTo>
                <a:cubicBezTo>
                  <a:pt x="212" y="24"/>
                  <a:pt x="214" y="26"/>
                  <a:pt x="216" y="27"/>
                </a:cubicBezTo>
                <a:cubicBezTo>
                  <a:pt x="217" y="28"/>
                  <a:pt x="218" y="30"/>
                  <a:pt x="218" y="31"/>
                </a:cubicBezTo>
                <a:cubicBezTo>
                  <a:pt x="218" y="33"/>
                  <a:pt x="218" y="34"/>
                  <a:pt x="217" y="36"/>
                </a:cubicBezTo>
                <a:cubicBezTo>
                  <a:pt x="216" y="37"/>
                  <a:pt x="215" y="38"/>
                  <a:pt x="214" y="40"/>
                </a:cubicBezTo>
                <a:cubicBezTo>
                  <a:pt x="203" y="29"/>
                  <a:pt x="203" y="29"/>
                  <a:pt x="203" y="29"/>
                </a:cubicBezTo>
                <a:cubicBezTo>
                  <a:pt x="200" y="26"/>
                  <a:pt x="198" y="24"/>
                  <a:pt x="197" y="22"/>
                </a:cubicBezTo>
                <a:cubicBezTo>
                  <a:pt x="195" y="20"/>
                  <a:pt x="194" y="17"/>
                  <a:pt x="193" y="15"/>
                </a:cubicBezTo>
                <a:cubicBezTo>
                  <a:pt x="191" y="15"/>
                  <a:pt x="191" y="15"/>
                  <a:pt x="191" y="15"/>
                </a:cubicBezTo>
                <a:cubicBezTo>
                  <a:pt x="189" y="18"/>
                  <a:pt x="188" y="21"/>
                  <a:pt x="188" y="22"/>
                </a:cubicBezTo>
                <a:cubicBezTo>
                  <a:pt x="191" y="26"/>
                  <a:pt x="193" y="30"/>
                  <a:pt x="193" y="35"/>
                </a:cubicBezTo>
                <a:cubicBezTo>
                  <a:pt x="194" y="37"/>
                  <a:pt x="193" y="41"/>
                  <a:pt x="191" y="45"/>
                </a:cubicBezTo>
                <a:cubicBezTo>
                  <a:pt x="190" y="49"/>
                  <a:pt x="189" y="53"/>
                  <a:pt x="189" y="55"/>
                </a:cubicBezTo>
                <a:cubicBezTo>
                  <a:pt x="189" y="59"/>
                  <a:pt x="191" y="62"/>
                  <a:pt x="196" y="62"/>
                </a:cubicBezTo>
                <a:cubicBezTo>
                  <a:pt x="198" y="62"/>
                  <a:pt x="200" y="61"/>
                  <a:pt x="201" y="61"/>
                </a:cubicBezTo>
                <a:cubicBezTo>
                  <a:pt x="204" y="53"/>
                  <a:pt x="204" y="53"/>
                  <a:pt x="204" y="53"/>
                </a:cubicBezTo>
                <a:cubicBezTo>
                  <a:pt x="202" y="53"/>
                  <a:pt x="200" y="53"/>
                  <a:pt x="200" y="53"/>
                </a:cubicBezTo>
                <a:cubicBezTo>
                  <a:pt x="197" y="53"/>
                  <a:pt x="196" y="51"/>
                  <a:pt x="196" y="48"/>
                </a:cubicBezTo>
                <a:cubicBezTo>
                  <a:pt x="196" y="47"/>
                  <a:pt x="196" y="45"/>
                  <a:pt x="197" y="42"/>
                </a:cubicBezTo>
                <a:cubicBezTo>
                  <a:pt x="198" y="40"/>
                  <a:pt x="199" y="38"/>
                  <a:pt x="199" y="36"/>
                </a:cubicBezTo>
                <a:cubicBezTo>
                  <a:pt x="199" y="35"/>
                  <a:pt x="199" y="35"/>
                  <a:pt x="199" y="35"/>
                </a:cubicBezTo>
                <a:cubicBezTo>
                  <a:pt x="207" y="43"/>
                  <a:pt x="207" y="43"/>
                  <a:pt x="207" y="43"/>
                </a:cubicBezTo>
                <a:cubicBezTo>
                  <a:pt x="211" y="46"/>
                  <a:pt x="214" y="49"/>
                  <a:pt x="215" y="51"/>
                </a:cubicBezTo>
                <a:cubicBezTo>
                  <a:pt x="219" y="55"/>
                  <a:pt x="222" y="59"/>
                  <a:pt x="222" y="63"/>
                </a:cubicBezTo>
                <a:cubicBezTo>
                  <a:pt x="224" y="63"/>
                  <a:pt x="224" y="63"/>
                  <a:pt x="224" y="63"/>
                </a:cubicBezTo>
                <a:cubicBezTo>
                  <a:pt x="226" y="59"/>
                  <a:pt x="227" y="56"/>
                  <a:pt x="228" y="55"/>
                </a:cubicBezTo>
                <a:cubicBezTo>
                  <a:pt x="226" y="52"/>
                  <a:pt x="223" y="48"/>
                  <a:pt x="218" y="43"/>
                </a:cubicBezTo>
                <a:close/>
              </a:path>
            </a:pathLst>
          </a:custGeom>
          <a:solidFill>
            <a:srgbClr val="FFFF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77" name="Freeform 32"/>
          <xdr:cNvSpPr>
            <a:spLocks noEditPoints="1"/>
          </xdr:cNvSpPr>
        </xdr:nvSpPr>
        <xdr:spPr bwMode="auto">
          <a:xfrm>
            <a:off x="18096" y="85"/>
            <a:ext cx="79" cy="10"/>
          </a:xfrm>
          <a:custGeom>
            <a:avLst/>
            <a:gdLst>
              <a:gd name="T0" fmla="*/ 0 w 230"/>
              <a:gd name="T1" fmla="*/ 0 h 35"/>
              <a:gd name="T2" fmla="*/ 0 w 230"/>
              <a:gd name="T3" fmla="*/ 0 h 35"/>
              <a:gd name="T4" fmla="*/ 0 w 230"/>
              <a:gd name="T5" fmla="*/ 0 h 35"/>
              <a:gd name="T6" fmla="*/ 0 w 230"/>
              <a:gd name="T7" fmla="*/ 0 h 35"/>
              <a:gd name="T8" fmla="*/ 0 w 230"/>
              <a:gd name="T9" fmla="*/ 0 h 35"/>
              <a:gd name="T10" fmla="*/ 0 w 230"/>
              <a:gd name="T11" fmla="*/ 0 h 35"/>
              <a:gd name="T12" fmla="*/ 0 w 230"/>
              <a:gd name="T13" fmla="*/ 0 h 35"/>
              <a:gd name="T14" fmla="*/ 0 w 230"/>
              <a:gd name="T15" fmla="*/ 0 h 35"/>
              <a:gd name="T16" fmla="*/ 0 w 230"/>
              <a:gd name="T17" fmla="*/ 0 h 35"/>
              <a:gd name="T18" fmla="*/ 0 w 230"/>
              <a:gd name="T19" fmla="*/ 0 h 35"/>
              <a:gd name="T20" fmla="*/ 0 w 230"/>
              <a:gd name="T21" fmla="*/ 0 h 35"/>
              <a:gd name="T22" fmla="*/ 0 w 230"/>
              <a:gd name="T23" fmla="*/ 0 h 35"/>
              <a:gd name="T24" fmla="*/ 0 w 230"/>
              <a:gd name="T25" fmla="*/ 0 h 35"/>
              <a:gd name="T26" fmla="*/ 0 w 230"/>
              <a:gd name="T27" fmla="*/ 0 h 35"/>
              <a:gd name="T28" fmla="*/ 0 w 230"/>
              <a:gd name="T29" fmla="*/ 0 h 35"/>
              <a:gd name="T30" fmla="*/ 0 w 230"/>
              <a:gd name="T31" fmla="*/ 0 h 35"/>
              <a:gd name="T32" fmla="*/ 0 w 230"/>
              <a:gd name="T33" fmla="*/ 0 h 35"/>
              <a:gd name="T34" fmla="*/ 0 w 230"/>
              <a:gd name="T35" fmla="*/ 0 h 35"/>
              <a:gd name="T36" fmla="*/ 0 w 230"/>
              <a:gd name="T37" fmla="*/ 0 h 35"/>
              <a:gd name="T38" fmla="*/ 0 w 230"/>
              <a:gd name="T39" fmla="*/ 0 h 35"/>
              <a:gd name="T40" fmla="*/ 0 w 230"/>
              <a:gd name="T41" fmla="*/ 0 h 35"/>
              <a:gd name="T42" fmla="*/ 0 w 230"/>
              <a:gd name="T43" fmla="*/ 0 h 35"/>
              <a:gd name="T44" fmla="*/ 0 w 230"/>
              <a:gd name="T45" fmla="*/ 0 h 35"/>
              <a:gd name="T46" fmla="*/ 0 w 230"/>
              <a:gd name="T47" fmla="*/ 0 h 35"/>
              <a:gd name="T48" fmla="*/ 0 w 230"/>
              <a:gd name="T49" fmla="*/ 0 h 35"/>
              <a:gd name="T50" fmla="*/ 0 w 230"/>
              <a:gd name="T51" fmla="*/ 0 h 35"/>
              <a:gd name="T52" fmla="*/ 0 w 230"/>
              <a:gd name="T53" fmla="*/ 0 h 35"/>
              <a:gd name="T54" fmla="*/ 0 w 230"/>
              <a:gd name="T55" fmla="*/ 0 h 35"/>
              <a:gd name="T56" fmla="*/ 0 w 230"/>
              <a:gd name="T57" fmla="*/ 0 h 35"/>
              <a:gd name="T58" fmla="*/ 0 w 230"/>
              <a:gd name="T59" fmla="*/ 0 h 35"/>
              <a:gd name="T60" fmla="*/ 0 w 230"/>
              <a:gd name="T61" fmla="*/ 0 h 35"/>
              <a:gd name="T62" fmla="*/ 0 w 230"/>
              <a:gd name="T63" fmla="*/ 0 h 35"/>
              <a:gd name="T64" fmla="*/ 0 w 230"/>
              <a:gd name="T65" fmla="*/ 0 h 35"/>
              <a:gd name="T66" fmla="*/ 0 w 230"/>
              <a:gd name="T67" fmla="*/ 0 h 35"/>
              <a:gd name="T68" fmla="*/ 0 w 230"/>
              <a:gd name="T69" fmla="*/ 0 h 35"/>
              <a:gd name="T70" fmla="*/ 0 w 230"/>
              <a:gd name="T71" fmla="*/ 0 h 35"/>
              <a:gd name="T72" fmla="*/ 0 w 230"/>
              <a:gd name="T73" fmla="*/ 0 h 35"/>
              <a:gd name="T74" fmla="*/ 0 w 230"/>
              <a:gd name="T75" fmla="*/ 0 h 35"/>
              <a:gd name="T76" fmla="*/ 0 w 230"/>
              <a:gd name="T77" fmla="*/ 0 h 35"/>
              <a:gd name="T78" fmla="*/ 0 w 230"/>
              <a:gd name="T79" fmla="*/ 0 h 35"/>
              <a:gd name="T80" fmla="*/ 0 w 230"/>
              <a:gd name="T81" fmla="*/ 0 h 35"/>
              <a:gd name="T82" fmla="*/ 0 w 230"/>
              <a:gd name="T83" fmla="*/ 0 h 35"/>
              <a:gd name="T84" fmla="*/ 0 w 230"/>
              <a:gd name="T85" fmla="*/ 0 h 35"/>
              <a:gd name="T86" fmla="*/ 0 w 230"/>
              <a:gd name="T87" fmla="*/ 0 h 35"/>
              <a:gd name="T88" fmla="*/ 0 w 230"/>
              <a:gd name="T89" fmla="*/ 0 h 35"/>
              <a:gd name="T90" fmla="*/ 0 w 230"/>
              <a:gd name="T91" fmla="*/ 0 h 35"/>
              <a:gd name="T92" fmla="*/ 0 w 230"/>
              <a:gd name="T93" fmla="*/ 0 h 35"/>
              <a:gd name="T94" fmla="*/ 0 w 230"/>
              <a:gd name="T95" fmla="*/ 0 h 35"/>
              <a:gd name="T96" fmla="*/ 0 w 230"/>
              <a:gd name="T97" fmla="*/ 0 h 35"/>
              <a:gd name="T98" fmla="*/ 0 w 230"/>
              <a:gd name="T99" fmla="*/ 0 h 35"/>
              <a:gd name="T100" fmla="*/ 0 w 230"/>
              <a:gd name="T101" fmla="*/ 0 h 35"/>
              <a:gd name="T102" fmla="*/ 0 w 230"/>
              <a:gd name="T103" fmla="*/ 0 h 35"/>
              <a:gd name="T104" fmla="*/ 0 w 230"/>
              <a:gd name="T105" fmla="*/ 0 h 35"/>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230"/>
              <a:gd name="T160" fmla="*/ 0 h 35"/>
              <a:gd name="T161" fmla="*/ 230 w 230"/>
              <a:gd name="T162" fmla="*/ 35 h 35"/>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230" h="35">
                <a:moveTo>
                  <a:pt x="74" y="0"/>
                </a:moveTo>
                <a:cubicBezTo>
                  <a:pt x="63" y="0"/>
                  <a:pt x="63" y="0"/>
                  <a:pt x="63" y="0"/>
                </a:cubicBezTo>
                <a:cubicBezTo>
                  <a:pt x="63" y="1"/>
                  <a:pt x="63" y="1"/>
                  <a:pt x="63" y="1"/>
                </a:cubicBezTo>
                <a:cubicBezTo>
                  <a:pt x="64" y="1"/>
                  <a:pt x="64" y="1"/>
                  <a:pt x="64" y="1"/>
                </a:cubicBezTo>
                <a:cubicBezTo>
                  <a:pt x="65" y="1"/>
                  <a:pt x="66" y="2"/>
                  <a:pt x="67" y="2"/>
                </a:cubicBezTo>
                <a:cubicBezTo>
                  <a:pt x="67" y="3"/>
                  <a:pt x="67" y="4"/>
                  <a:pt x="67" y="6"/>
                </a:cubicBezTo>
                <a:cubicBezTo>
                  <a:pt x="67" y="26"/>
                  <a:pt x="67" y="26"/>
                  <a:pt x="67" y="26"/>
                </a:cubicBezTo>
                <a:cubicBezTo>
                  <a:pt x="47" y="0"/>
                  <a:pt x="47" y="0"/>
                  <a:pt x="47" y="0"/>
                </a:cubicBezTo>
                <a:cubicBezTo>
                  <a:pt x="38" y="0"/>
                  <a:pt x="38" y="0"/>
                  <a:pt x="38" y="0"/>
                </a:cubicBezTo>
                <a:cubicBezTo>
                  <a:pt x="38" y="1"/>
                  <a:pt x="38" y="1"/>
                  <a:pt x="38" y="1"/>
                </a:cubicBezTo>
                <a:cubicBezTo>
                  <a:pt x="39" y="1"/>
                  <a:pt x="39" y="1"/>
                  <a:pt x="40" y="1"/>
                </a:cubicBezTo>
                <a:cubicBezTo>
                  <a:pt x="41" y="2"/>
                  <a:pt x="42" y="2"/>
                  <a:pt x="42" y="3"/>
                </a:cubicBezTo>
                <a:cubicBezTo>
                  <a:pt x="43" y="3"/>
                  <a:pt x="43" y="4"/>
                  <a:pt x="44" y="5"/>
                </a:cubicBezTo>
                <a:cubicBezTo>
                  <a:pt x="44" y="28"/>
                  <a:pt x="44" y="28"/>
                  <a:pt x="44" y="28"/>
                </a:cubicBezTo>
                <a:cubicBezTo>
                  <a:pt x="44" y="30"/>
                  <a:pt x="44" y="31"/>
                  <a:pt x="44" y="32"/>
                </a:cubicBezTo>
                <a:cubicBezTo>
                  <a:pt x="43" y="33"/>
                  <a:pt x="42" y="33"/>
                  <a:pt x="41" y="33"/>
                </a:cubicBezTo>
                <a:cubicBezTo>
                  <a:pt x="39" y="33"/>
                  <a:pt x="39" y="33"/>
                  <a:pt x="39" y="33"/>
                </a:cubicBezTo>
                <a:cubicBezTo>
                  <a:pt x="39" y="34"/>
                  <a:pt x="39" y="34"/>
                  <a:pt x="39" y="34"/>
                </a:cubicBezTo>
                <a:cubicBezTo>
                  <a:pt x="51" y="34"/>
                  <a:pt x="51" y="34"/>
                  <a:pt x="51" y="34"/>
                </a:cubicBezTo>
                <a:cubicBezTo>
                  <a:pt x="51" y="33"/>
                  <a:pt x="51" y="33"/>
                  <a:pt x="51" y="33"/>
                </a:cubicBezTo>
                <a:cubicBezTo>
                  <a:pt x="50" y="33"/>
                  <a:pt x="50" y="33"/>
                  <a:pt x="50" y="33"/>
                </a:cubicBezTo>
                <a:cubicBezTo>
                  <a:pt x="49" y="33"/>
                  <a:pt x="48" y="33"/>
                  <a:pt x="47" y="32"/>
                </a:cubicBezTo>
                <a:cubicBezTo>
                  <a:pt x="47" y="32"/>
                  <a:pt x="46" y="30"/>
                  <a:pt x="46" y="28"/>
                </a:cubicBezTo>
                <a:cubicBezTo>
                  <a:pt x="46" y="7"/>
                  <a:pt x="46" y="7"/>
                  <a:pt x="46" y="7"/>
                </a:cubicBezTo>
                <a:cubicBezTo>
                  <a:pt x="68" y="34"/>
                  <a:pt x="68" y="34"/>
                  <a:pt x="68" y="34"/>
                </a:cubicBezTo>
                <a:cubicBezTo>
                  <a:pt x="70" y="34"/>
                  <a:pt x="70" y="34"/>
                  <a:pt x="70" y="34"/>
                </a:cubicBezTo>
                <a:cubicBezTo>
                  <a:pt x="70" y="6"/>
                  <a:pt x="70" y="6"/>
                  <a:pt x="70" y="6"/>
                </a:cubicBezTo>
                <a:cubicBezTo>
                  <a:pt x="70" y="4"/>
                  <a:pt x="70" y="3"/>
                  <a:pt x="70" y="3"/>
                </a:cubicBezTo>
                <a:cubicBezTo>
                  <a:pt x="71" y="2"/>
                  <a:pt x="72" y="1"/>
                  <a:pt x="73" y="1"/>
                </a:cubicBezTo>
                <a:cubicBezTo>
                  <a:pt x="74" y="1"/>
                  <a:pt x="74" y="1"/>
                  <a:pt x="74" y="1"/>
                </a:cubicBezTo>
                <a:lnTo>
                  <a:pt x="74" y="0"/>
                </a:lnTo>
                <a:close/>
                <a:moveTo>
                  <a:pt x="104" y="28"/>
                </a:moveTo>
                <a:cubicBezTo>
                  <a:pt x="93" y="0"/>
                  <a:pt x="93" y="0"/>
                  <a:pt x="93" y="0"/>
                </a:cubicBezTo>
                <a:cubicBezTo>
                  <a:pt x="91" y="0"/>
                  <a:pt x="91" y="0"/>
                  <a:pt x="91" y="0"/>
                </a:cubicBezTo>
                <a:cubicBezTo>
                  <a:pt x="80" y="27"/>
                  <a:pt x="80" y="27"/>
                  <a:pt x="80" y="27"/>
                </a:cubicBezTo>
                <a:cubicBezTo>
                  <a:pt x="79" y="30"/>
                  <a:pt x="78" y="31"/>
                  <a:pt x="77" y="32"/>
                </a:cubicBezTo>
                <a:cubicBezTo>
                  <a:pt x="76" y="33"/>
                  <a:pt x="75" y="33"/>
                  <a:pt x="74" y="33"/>
                </a:cubicBezTo>
                <a:cubicBezTo>
                  <a:pt x="74" y="34"/>
                  <a:pt x="74" y="34"/>
                  <a:pt x="74" y="34"/>
                </a:cubicBezTo>
                <a:cubicBezTo>
                  <a:pt x="85" y="34"/>
                  <a:pt x="85" y="34"/>
                  <a:pt x="85" y="34"/>
                </a:cubicBezTo>
                <a:cubicBezTo>
                  <a:pt x="85" y="33"/>
                  <a:pt x="85" y="33"/>
                  <a:pt x="85" y="33"/>
                </a:cubicBezTo>
                <a:cubicBezTo>
                  <a:pt x="83" y="33"/>
                  <a:pt x="82" y="33"/>
                  <a:pt x="81" y="32"/>
                </a:cubicBezTo>
                <a:cubicBezTo>
                  <a:pt x="81" y="32"/>
                  <a:pt x="81" y="32"/>
                  <a:pt x="81" y="31"/>
                </a:cubicBezTo>
                <a:cubicBezTo>
                  <a:pt x="81" y="30"/>
                  <a:pt x="81" y="29"/>
                  <a:pt x="82" y="28"/>
                </a:cubicBezTo>
                <a:cubicBezTo>
                  <a:pt x="84" y="23"/>
                  <a:pt x="84" y="23"/>
                  <a:pt x="84" y="23"/>
                </a:cubicBezTo>
                <a:cubicBezTo>
                  <a:pt x="97" y="23"/>
                  <a:pt x="97" y="23"/>
                  <a:pt x="97" y="23"/>
                </a:cubicBezTo>
                <a:cubicBezTo>
                  <a:pt x="99" y="28"/>
                  <a:pt x="99" y="28"/>
                  <a:pt x="99" y="28"/>
                </a:cubicBezTo>
                <a:cubicBezTo>
                  <a:pt x="100" y="29"/>
                  <a:pt x="100" y="30"/>
                  <a:pt x="100" y="31"/>
                </a:cubicBezTo>
                <a:cubicBezTo>
                  <a:pt x="100" y="32"/>
                  <a:pt x="100" y="32"/>
                  <a:pt x="99" y="32"/>
                </a:cubicBezTo>
                <a:cubicBezTo>
                  <a:pt x="99" y="33"/>
                  <a:pt x="98" y="33"/>
                  <a:pt x="96" y="33"/>
                </a:cubicBezTo>
                <a:cubicBezTo>
                  <a:pt x="96" y="34"/>
                  <a:pt x="96" y="34"/>
                  <a:pt x="96" y="34"/>
                </a:cubicBezTo>
                <a:cubicBezTo>
                  <a:pt x="110" y="34"/>
                  <a:pt x="110" y="34"/>
                  <a:pt x="110" y="34"/>
                </a:cubicBezTo>
                <a:cubicBezTo>
                  <a:pt x="110" y="33"/>
                  <a:pt x="110" y="33"/>
                  <a:pt x="110" y="33"/>
                </a:cubicBezTo>
                <a:cubicBezTo>
                  <a:pt x="108" y="33"/>
                  <a:pt x="107" y="33"/>
                  <a:pt x="107" y="32"/>
                </a:cubicBezTo>
                <a:cubicBezTo>
                  <a:pt x="106" y="31"/>
                  <a:pt x="105" y="30"/>
                  <a:pt x="104" y="28"/>
                </a:cubicBezTo>
                <a:close/>
                <a:moveTo>
                  <a:pt x="85" y="21"/>
                </a:moveTo>
                <a:cubicBezTo>
                  <a:pt x="90" y="7"/>
                  <a:pt x="90" y="7"/>
                  <a:pt x="90" y="7"/>
                </a:cubicBezTo>
                <a:cubicBezTo>
                  <a:pt x="96" y="21"/>
                  <a:pt x="96" y="21"/>
                  <a:pt x="96" y="21"/>
                </a:cubicBezTo>
                <a:lnTo>
                  <a:pt x="85" y="21"/>
                </a:lnTo>
                <a:close/>
                <a:moveTo>
                  <a:pt x="30" y="28"/>
                </a:moveTo>
                <a:cubicBezTo>
                  <a:pt x="18" y="0"/>
                  <a:pt x="18" y="0"/>
                  <a:pt x="18" y="0"/>
                </a:cubicBezTo>
                <a:cubicBezTo>
                  <a:pt x="17" y="0"/>
                  <a:pt x="17" y="0"/>
                  <a:pt x="17" y="0"/>
                </a:cubicBezTo>
                <a:cubicBezTo>
                  <a:pt x="5" y="27"/>
                  <a:pt x="5" y="27"/>
                  <a:pt x="5" y="27"/>
                </a:cubicBezTo>
                <a:cubicBezTo>
                  <a:pt x="4" y="30"/>
                  <a:pt x="3" y="31"/>
                  <a:pt x="2" y="32"/>
                </a:cubicBezTo>
                <a:cubicBezTo>
                  <a:pt x="2" y="33"/>
                  <a:pt x="1" y="33"/>
                  <a:pt x="0" y="33"/>
                </a:cubicBezTo>
                <a:cubicBezTo>
                  <a:pt x="0" y="34"/>
                  <a:pt x="0" y="34"/>
                  <a:pt x="0" y="34"/>
                </a:cubicBezTo>
                <a:cubicBezTo>
                  <a:pt x="10" y="34"/>
                  <a:pt x="10" y="34"/>
                  <a:pt x="10" y="34"/>
                </a:cubicBezTo>
                <a:cubicBezTo>
                  <a:pt x="10" y="33"/>
                  <a:pt x="10" y="33"/>
                  <a:pt x="10" y="33"/>
                </a:cubicBezTo>
                <a:cubicBezTo>
                  <a:pt x="9" y="33"/>
                  <a:pt x="8" y="33"/>
                  <a:pt x="7" y="32"/>
                </a:cubicBezTo>
                <a:cubicBezTo>
                  <a:pt x="7" y="32"/>
                  <a:pt x="6" y="32"/>
                  <a:pt x="6" y="31"/>
                </a:cubicBezTo>
                <a:cubicBezTo>
                  <a:pt x="6" y="30"/>
                  <a:pt x="7" y="29"/>
                  <a:pt x="7" y="28"/>
                </a:cubicBezTo>
                <a:cubicBezTo>
                  <a:pt x="10" y="23"/>
                  <a:pt x="10" y="23"/>
                  <a:pt x="10" y="23"/>
                </a:cubicBezTo>
                <a:cubicBezTo>
                  <a:pt x="23" y="23"/>
                  <a:pt x="23" y="23"/>
                  <a:pt x="23" y="23"/>
                </a:cubicBezTo>
                <a:cubicBezTo>
                  <a:pt x="25" y="28"/>
                  <a:pt x="25" y="28"/>
                  <a:pt x="25" y="28"/>
                </a:cubicBezTo>
                <a:cubicBezTo>
                  <a:pt x="25" y="29"/>
                  <a:pt x="26" y="30"/>
                  <a:pt x="26" y="31"/>
                </a:cubicBezTo>
                <a:cubicBezTo>
                  <a:pt x="26" y="32"/>
                  <a:pt x="25" y="32"/>
                  <a:pt x="25" y="32"/>
                </a:cubicBezTo>
                <a:cubicBezTo>
                  <a:pt x="24" y="33"/>
                  <a:pt x="23" y="33"/>
                  <a:pt x="22" y="33"/>
                </a:cubicBezTo>
                <a:cubicBezTo>
                  <a:pt x="22" y="34"/>
                  <a:pt x="22" y="34"/>
                  <a:pt x="22" y="34"/>
                </a:cubicBezTo>
                <a:cubicBezTo>
                  <a:pt x="35" y="34"/>
                  <a:pt x="35" y="34"/>
                  <a:pt x="35" y="34"/>
                </a:cubicBezTo>
                <a:cubicBezTo>
                  <a:pt x="35" y="33"/>
                  <a:pt x="35" y="33"/>
                  <a:pt x="35" y="33"/>
                </a:cubicBezTo>
                <a:cubicBezTo>
                  <a:pt x="34" y="33"/>
                  <a:pt x="33" y="33"/>
                  <a:pt x="32" y="32"/>
                </a:cubicBezTo>
                <a:cubicBezTo>
                  <a:pt x="31" y="31"/>
                  <a:pt x="31" y="30"/>
                  <a:pt x="30" y="28"/>
                </a:cubicBezTo>
                <a:close/>
                <a:moveTo>
                  <a:pt x="10" y="21"/>
                </a:moveTo>
                <a:cubicBezTo>
                  <a:pt x="16" y="7"/>
                  <a:pt x="16" y="7"/>
                  <a:pt x="16" y="7"/>
                </a:cubicBezTo>
                <a:cubicBezTo>
                  <a:pt x="22" y="21"/>
                  <a:pt x="22" y="21"/>
                  <a:pt x="22" y="21"/>
                </a:cubicBezTo>
                <a:lnTo>
                  <a:pt x="10" y="21"/>
                </a:lnTo>
                <a:close/>
                <a:moveTo>
                  <a:pt x="140" y="29"/>
                </a:moveTo>
                <a:cubicBezTo>
                  <a:pt x="139" y="30"/>
                  <a:pt x="138" y="31"/>
                  <a:pt x="137" y="31"/>
                </a:cubicBezTo>
                <a:cubicBezTo>
                  <a:pt x="136" y="32"/>
                  <a:pt x="134" y="32"/>
                  <a:pt x="132" y="32"/>
                </a:cubicBezTo>
                <a:cubicBezTo>
                  <a:pt x="129" y="32"/>
                  <a:pt x="129" y="32"/>
                  <a:pt x="129" y="32"/>
                </a:cubicBezTo>
                <a:cubicBezTo>
                  <a:pt x="127" y="32"/>
                  <a:pt x="126" y="32"/>
                  <a:pt x="125" y="32"/>
                </a:cubicBezTo>
                <a:cubicBezTo>
                  <a:pt x="125" y="31"/>
                  <a:pt x="125" y="31"/>
                  <a:pt x="125" y="31"/>
                </a:cubicBezTo>
                <a:cubicBezTo>
                  <a:pt x="124" y="30"/>
                  <a:pt x="124" y="29"/>
                  <a:pt x="124" y="28"/>
                </a:cubicBezTo>
                <a:cubicBezTo>
                  <a:pt x="124" y="7"/>
                  <a:pt x="124" y="7"/>
                  <a:pt x="124" y="7"/>
                </a:cubicBezTo>
                <a:cubicBezTo>
                  <a:pt x="124" y="5"/>
                  <a:pt x="124" y="4"/>
                  <a:pt x="125" y="3"/>
                </a:cubicBezTo>
                <a:cubicBezTo>
                  <a:pt x="125" y="3"/>
                  <a:pt x="125" y="2"/>
                  <a:pt x="126" y="2"/>
                </a:cubicBezTo>
                <a:cubicBezTo>
                  <a:pt x="127" y="1"/>
                  <a:pt x="128" y="1"/>
                  <a:pt x="130" y="1"/>
                </a:cubicBezTo>
                <a:cubicBezTo>
                  <a:pt x="130" y="0"/>
                  <a:pt x="130" y="0"/>
                  <a:pt x="130" y="0"/>
                </a:cubicBezTo>
                <a:cubicBezTo>
                  <a:pt x="115" y="0"/>
                  <a:pt x="115" y="0"/>
                  <a:pt x="115" y="0"/>
                </a:cubicBezTo>
                <a:cubicBezTo>
                  <a:pt x="115" y="1"/>
                  <a:pt x="115" y="1"/>
                  <a:pt x="115" y="1"/>
                </a:cubicBezTo>
                <a:cubicBezTo>
                  <a:pt x="116" y="1"/>
                  <a:pt x="116" y="1"/>
                  <a:pt x="116" y="1"/>
                </a:cubicBezTo>
                <a:cubicBezTo>
                  <a:pt x="117" y="1"/>
                  <a:pt x="118" y="2"/>
                  <a:pt x="119" y="2"/>
                </a:cubicBezTo>
                <a:cubicBezTo>
                  <a:pt x="119" y="3"/>
                  <a:pt x="119" y="4"/>
                  <a:pt x="119" y="6"/>
                </a:cubicBezTo>
                <a:cubicBezTo>
                  <a:pt x="119" y="28"/>
                  <a:pt x="119" y="28"/>
                  <a:pt x="119" y="28"/>
                </a:cubicBezTo>
                <a:cubicBezTo>
                  <a:pt x="119" y="30"/>
                  <a:pt x="119" y="31"/>
                  <a:pt x="119" y="32"/>
                </a:cubicBezTo>
                <a:cubicBezTo>
                  <a:pt x="118" y="33"/>
                  <a:pt x="117" y="33"/>
                  <a:pt x="116" y="33"/>
                </a:cubicBezTo>
                <a:cubicBezTo>
                  <a:pt x="115" y="33"/>
                  <a:pt x="115" y="33"/>
                  <a:pt x="115" y="33"/>
                </a:cubicBezTo>
                <a:cubicBezTo>
                  <a:pt x="115" y="34"/>
                  <a:pt x="115" y="34"/>
                  <a:pt x="115" y="34"/>
                </a:cubicBezTo>
                <a:cubicBezTo>
                  <a:pt x="141" y="34"/>
                  <a:pt x="141" y="34"/>
                  <a:pt x="141" y="34"/>
                </a:cubicBezTo>
                <a:cubicBezTo>
                  <a:pt x="143" y="25"/>
                  <a:pt x="143" y="25"/>
                  <a:pt x="143" y="25"/>
                </a:cubicBezTo>
                <a:cubicBezTo>
                  <a:pt x="143" y="25"/>
                  <a:pt x="143" y="25"/>
                  <a:pt x="143" y="25"/>
                </a:cubicBezTo>
                <a:cubicBezTo>
                  <a:pt x="142" y="27"/>
                  <a:pt x="141" y="28"/>
                  <a:pt x="140" y="29"/>
                </a:cubicBezTo>
                <a:close/>
                <a:moveTo>
                  <a:pt x="163" y="1"/>
                </a:moveTo>
                <a:cubicBezTo>
                  <a:pt x="164" y="1"/>
                  <a:pt x="164" y="1"/>
                  <a:pt x="165" y="2"/>
                </a:cubicBezTo>
                <a:cubicBezTo>
                  <a:pt x="165" y="2"/>
                  <a:pt x="165" y="2"/>
                  <a:pt x="166" y="2"/>
                </a:cubicBezTo>
                <a:cubicBezTo>
                  <a:pt x="166" y="3"/>
                  <a:pt x="166" y="3"/>
                  <a:pt x="166" y="4"/>
                </a:cubicBezTo>
                <a:cubicBezTo>
                  <a:pt x="166" y="4"/>
                  <a:pt x="166" y="6"/>
                  <a:pt x="165" y="7"/>
                </a:cubicBezTo>
                <a:cubicBezTo>
                  <a:pt x="158" y="18"/>
                  <a:pt x="158" y="18"/>
                  <a:pt x="158" y="18"/>
                </a:cubicBezTo>
                <a:cubicBezTo>
                  <a:pt x="151" y="7"/>
                  <a:pt x="151" y="7"/>
                  <a:pt x="151" y="7"/>
                </a:cubicBezTo>
                <a:cubicBezTo>
                  <a:pt x="150" y="5"/>
                  <a:pt x="149" y="4"/>
                  <a:pt x="149" y="3"/>
                </a:cubicBezTo>
                <a:cubicBezTo>
                  <a:pt x="149" y="3"/>
                  <a:pt x="150" y="2"/>
                  <a:pt x="150" y="2"/>
                </a:cubicBezTo>
                <a:cubicBezTo>
                  <a:pt x="151" y="1"/>
                  <a:pt x="152" y="1"/>
                  <a:pt x="153" y="1"/>
                </a:cubicBezTo>
                <a:cubicBezTo>
                  <a:pt x="153" y="1"/>
                  <a:pt x="153" y="1"/>
                  <a:pt x="153" y="1"/>
                </a:cubicBezTo>
                <a:cubicBezTo>
                  <a:pt x="153" y="0"/>
                  <a:pt x="153" y="0"/>
                  <a:pt x="153" y="0"/>
                </a:cubicBezTo>
                <a:cubicBezTo>
                  <a:pt x="139" y="0"/>
                  <a:pt x="139" y="0"/>
                  <a:pt x="139" y="0"/>
                </a:cubicBezTo>
                <a:cubicBezTo>
                  <a:pt x="139" y="1"/>
                  <a:pt x="139" y="1"/>
                  <a:pt x="139" y="1"/>
                </a:cubicBezTo>
                <a:cubicBezTo>
                  <a:pt x="140" y="1"/>
                  <a:pt x="140" y="1"/>
                  <a:pt x="140" y="2"/>
                </a:cubicBezTo>
                <a:cubicBezTo>
                  <a:pt x="142" y="2"/>
                  <a:pt x="142" y="3"/>
                  <a:pt x="143" y="3"/>
                </a:cubicBezTo>
                <a:cubicBezTo>
                  <a:pt x="143" y="3"/>
                  <a:pt x="144" y="4"/>
                  <a:pt x="145" y="6"/>
                </a:cubicBezTo>
                <a:cubicBezTo>
                  <a:pt x="154" y="20"/>
                  <a:pt x="154" y="20"/>
                  <a:pt x="154" y="20"/>
                </a:cubicBezTo>
                <a:cubicBezTo>
                  <a:pt x="154" y="28"/>
                  <a:pt x="154" y="28"/>
                  <a:pt x="154" y="28"/>
                </a:cubicBezTo>
                <a:cubicBezTo>
                  <a:pt x="154" y="30"/>
                  <a:pt x="154" y="31"/>
                  <a:pt x="154" y="32"/>
                </a:cubicBezTo>
                <a:cubicBezTo>
                  <a:pt x="153" y="33"/>
                  <a:pt x="152" y="33"/>
                  <a:pt x="151" y="33"/>
                </a:cubicBezTo>
                <a:cubicBezTo>
                  <a:pt x="149" y="33"/>
                  <a:pt x="149" y="33"/>
                  <a:pt x="149" y="33"/>
                </a:cubicBezTo>
                <a:cubicBezTo>
                  <a:pt x="149" y="34"/>
                  <a:pt x="149" y="34"/>
                  <a:pt x="149" y="34"/>
                </a:cubicBezTo>
                <a:cubicBezTo>
                  <a:pt x="164" y="34"/>
                  <a:pt x="164" y="34"/>
                  <a:pt x="164" y="34"/>
                </a:cubicBezTo>
                <a:cubicBezTo>
                  <a:pt x="164" y="33"/>
                  <a:pt x="164" y="33"/>
                  <a:pt x="164" y="33"/>
                </a:cubicBezTo>
                <a:cubicBezTo>
                  <a:pt x="163" y="33"/>
                  <a:pt x="163" y="33"/>
                  <a:pt x="163" y="33"/>
                </a:cubicBezTo>
                <a:cubicBezTo>
                  <a:pt x="161" y="33"/>
                  <a:pt x="160" y="33"/>
                  <a:pt x="160" y="32"/>
                </a:cubicBezTo>
                <a:cubicBezTo>
                  <a:pt x="159" y="32"/>
                  <a:pt x="159" y="30"/>
                  <a:pt x="159" y="28"/>
                </a:cubicBezTo>
                <a:cubicBezTo>
                  <a:pt x="159" y="20"/>
                  <a:pt x="159" y="20"/>
                  <a:pt x="159" y="20"/>
                </a:cubicBezTo>
                <a:cubicBezTo>
                  <a:pt x="167" y="7"/>
                  <a:pt x="167" y="7"/>
                  <a:pt x="167" y="7"/>
                </a:cubicBezTo>
                <a:cubicBezTo>
                  <a:pt x="168" y="5"/>
                  <a:pt x="169" y="4"/>
                  <a:pt x="170" y="3"/>
                </a:cubicBezTo>
                <a:cubicBezTo>
                  <a:pt x="170" y="3"/>
                  <a:pt x="171" y="2"/>
                  <a:pt x="172" y="2"/>
                </a:cubicBezTo>
                <a:cubicBezTo>
                  <a:pt x="173" y="1"/>
                  <a:pt x="173" y="1"/>
                  <a:pt x="174" y="1"/>
                </a:cubicBezTo>
                <a:cubicBezTo>
                  <a:pt x="174" y="1"/>
                  <a:pt x="174" y="1"/>
                  <a:pt x="174" y="1"/>
                </a:cubicBezTo>
                <a:cubicBezTo>
                  <a:pt x="174" y="0"/>
                  <a:pt x="174" y="0"/>
                  <a:pt x="174" y="0"/>
                </a:cubicBezTo>
                <a:cubicBezTo>
                  <a:pt x="163" y="0"/>
                  <a:pt x="163" y="0"/>
                  <a:pt x="163" y="0"/>
                </a:cubicBezTo>
                <a:lnTo>
                  <a:pt x="163" y="1"/>
                </a:lnTo>
                <a:close/>
                <a:moveTo>
                  <a:pt x="229" y="0"/>
                </a:moveTo>
                <a:cubicBezTo>
                  <a:pt x="202" y="0"/>
                  <a:pt x="202" y="0"/>
                  <a:pt x="202" y="0"/>
                </a:cubicBezTo>
                <a:cubicBezTo>
                  <a:pt x="202" y="8"/>
                  <a:pt x="202" y="8"/>
                  <a:pt x="202" y="8"/>
                </a:cubicBezTo>
                <a:cubicBezTo>
                  <a:pt x="203" y="8"/>
                  <a:pt x="203" y="8"/>
                  <a:pt x="203" y="8"/>
                </a:cubicBezTo>
                <a:cubicBezTo>
                  <a:pt x="203" y="7"/>
                  <a:pt x="203" y="6"/>
                  <a:pt x="204" y="5"/>
                </a:cubicBezTo>
                <a:cubicBezTo>
                  <a:pt x="204" y="4"/>
                  <a:pt x="205" y="3"/>
                  <a:pt x="206" y="3"/>
                </a:cubicBezTo>
                <a:cubicBezTo>
                  <a:pt x="206" y="3"/>
                  <a:pt x="208" y="2"/>
                  <a:pt x="209" y="2"/>
                </a:cubicBezTo>
                <a:cubicBezTo>
                  <a:pt x="213" y="2"/>
                  <a:pt x="213" y="2"/>
                  <a:pt x="213" y="2"/>
                </a:cubicBezTo>
                <a:cubicBezTo>
                  <a:pt x="213" y="28"/>
                  <a:pt x="213" y="28"/>
                  <a:pt x="213" y="28"/>
                </a:cubicBezTo>
                <a:cubicBezTo>
                  <a:pt x="213" y="30"/>
                  <a:pt x="213" y="31"/>
                  <a:pt x="213" y="32"/>
                </a:cubicBezTo>
                <a:cubicBezTo>
                  <a:pt x="212" y="33"/>
                  <a:pt x="211" y="33"/>
                  <a:pt x="210" y="33"/>
                </a:cubicBezTo>
                <a:cubicBezTo>
                  <a:pt x="208" y="33"/>
                  <a:pt x="208" y="33"/>
                  <a:pt x="208" y="33"/>
                </a:cubicBezTo>
                <a:cubicBezTo>
                  <a:pt x="208" y="34"/>
                  <a:pt x="208" y="34"/>
                  <a:pt x="208" y="34"/>
                </a:cubicBezTo>
                <a:cubicBezTo>
                  <a:pt x="223" y="34"/>
                  <a:pt x="223" y="34"/>
                  <a:pt x="223" y="34"/>
                </a:cubicBezTo>
                <a:cubicBezTo>
                  <a:pt x="223" y="33"/>
                  <a:pt x="223" y="33"/>
                  <a:pt x="223" y="33"/>
                </a:cubicBezTo>
                <a:cubicBezTo>
                  <a:pt x="222" y="33"/>
                  <a:pt x="222" y="33"/>
                  <a:pt x="222" y="33"/>
                </a:cubicBezTo>
                <a:cubicBezTo>
                  <a:pt x="220" y="33"/>
                  <a:pt x="219" y="33"/>
                  <a:pt x="219" y="32"/>
                </a:cubicBezTo>
                <a:cubicBezTo>
                  <a:pt x="218" y="32"/>
                  <a:pt x="218" y="30"/>
                  <a:pt x="218" y="28"/>
                </a:cubicBezTo>
                <a:cubicBezTo>
                  <a:pt x="218" y="2"/>
                  <a:pt x="218" y="2"/>
                  <a:pt x="218" y="2"/>
                </a:cubicBezTo>
                <a:cubicBezTo>
                  <a:pt x="223" y="2"/>
                  <a:pt x="223" y="2"/>
                  <a:pt x="223" y="2"/>
                </a:cubicBezTo>
                <a:cubicBezTo>
                  <a:pt x="224" y="2"/>
                  <a:pt x="225" y="3"/>
                  <a:pt x="226" y="3"/>
                </a:cubicBezTo>
                <a:cubicBezTo>
                  <a:pt x="227" y="4"/>
                  <a:pt x="228" y="4"/>
                  <a:pt x="228" y="5"/>
                </a:cubicBezTo>
                <a:cubicBezTo>
                  <a:pt x="228" y="6"/>
                  <a:pt x="229" y="7"/>
                  <a:pt x="229" y="8"/>
                </a:cubicBezTo>
                <a:cubicBezTo>
                  <a:pt x="230" y="8"/>
                  <a:pt x="230" y="8"/>
                  <a:pt x="230" y="8"/>
                </a:cubicBezTo>
                <a:lnTo>
                  <a:pt x="229" y="0"/>
                </a:lnTo>
                <a:close/>
                <a:moveTo>
                  <a:pt x="195" y="18"/>
                </a:moveTo>
                <a:cubicBezTo>
                  <a:pt x="194" y="17"/>
                  <a:pt x="192" y="16"/>
                  <a:pt x="188" y="14"/>
                </a:cubicBezTo>
                <a:cubicBezTo>
                  <a:pt x="185" y="12"/>
                  <a:pt x="182" y="11"/>
                  <a:pt x="181" y="10"/>
                </a:cubicBezTo>
                <a:cubicBezTo>
                  <a:pt x="180" y="9"/>
                  <a:pt x="180" y="8"/>
                  <a:pt x="180" y="7"/>
                </a:cubicBezTo>
                <a:cubicBezTo>
                  <a:pt x="180" y="5"/>
                  <a:pt x="181" y="4"/>
                  <a:pt x="182" y="3"/>
                </a:cubicBezTo>
                <a:cubicBezTo>
                  <a:pt x="183" y="2"/>
                  <a:pt x="184" y="2"/>
                  <a:pt x="186" y="2"/>
                </a:cubicBezTo>
                <a:cubicBezTo>
                  <a:pt x="187" y="2"/>
                  <a:pt x="189" y="2"/>
                  <a:pt x="190" y="3"/>
                </a:cubicBezTo>
                <a:cubicBezTo>
                  <a:pt x="192" y="4"/>
                  <a:pt x="193" y="5"/>
                  <a:pt x="194" y="6"/>
                </a:cubicBezTo>
                <a:cubicBezTo>
                  <a:pt x="194" y="7"/>
                  <a:pt x="195" y="9"/>
                  <a:pt x="195" y="11"/>
                </a:cubicBezTo>
                <a:cubicBezTo>
                  <a:pt x="196" y="11"/>
                  <a:pt x="196" y="11"/>
                  <a:pt x="196" y="11"/>
                </a:cubicBezTo>
                <a:cubicBezTo>
                  <a:pt x="196" y="0"/>
                  <a:pt x="196" y="0"/>
                  <a:pt x="196" y="0"/>
                </a:cubicBezTo>
                <a:cubicBezTo>
                  <a:pt x="195" y="0"/>
                  <a:pt x="195" y="0"/>
                  <a:pt x="195" y="0"/>
                </a:cubicBezTo>
                <a:cubicBezTo>
                  <a:pt x="195" y="0"/>
                  <a:pt x="195" y="1"/>
                  <a:pt x="195" y="1"/>
                </a:cubicBezTo>
                <a:cubicBezTo>
                  <a:pt x="194" y="1"/>
                  <a:pt x="194" y="2"/>
                  <a:pt x="194" y="2"/>
                </a:cubicBezTo>
                <a:cubicBezTo>
                  <a:pt x="193" y="2"/>
                  <a:pt x="193" y="1"/>
                  <a:pt x="192" y="1"/>
                </a:cubicBezTo>
                <a:cubicBezTo>
                  <a:pt x="190" y="0"/>
                  <a:pt x="188" y="0"/>
                  <a:pt x="186" y="0"/>
                </a:cubicBezTo>
                <a:cubicBezTo>
                  <a:pt x="183" y="0"/>
                  <a:pt x="181" y="0"/>
                  <a:pt x="179" y="2"/>
                </a:cubicBezTo>
                <a:cubicBezTo>
                  <a:pt x="177" y="4"/>
                  <a:pt x="176" y="6"/>
                  <a:pt x="176" y="8"/>
                </a:cubicBezTo>
                <a:cubicBezTo>
                  <a:pt x="176" y="10"/>
                  <a:pt x="176" y="11"/>
                  <a:pt x="177" y="12"/>
                </a:cubicBezTo>
                <a:cubicBezTo>
                  <a:pt x="178" y="13"/>
                  <a:pt x="179" y="14"/>
                  <a:pt x="180" y="15"/>
                </a:cubicBezTo>
                <a:cubicBezTo>
                  <a:pt x="181" y="16"/>
                  <a:pt x="183" y="18"/>
                  <a:pt x="186" y="19"/>
                </a:cubicBezTo>
                <a:cubicBezTo>
                  <a:pt x="189" y="21"/>
                  <a:pt x="191" y="22"/>
                  <a:pt x="191" y="22"/>
                </a:cubicBezTo>
                <a:cubicBezTo>
                  <a:pt x="192" y="23"/>
                  <a:pt x="193" y="24"/>
                  <a:pt x="193" y="25"/>
                </a:cubicBezTo>
                <a:cubicBezTo>
                  <a:pt x="194" y="26"/>
                  <a:pt x="194" y="26"/>
                  <a:pt x="194" y="27"/>
                </a:cubicBezTo>
                <a:cubicBezTo>
                  <a:pt x="194" y="29"/>
                  <a:pt x="193" y="30"/>
                  <a:pt x="192" y="31"/>
                </a:cubicBezTo>
                <a:cubicBezTo>
                  <a:pt x="191" y="32"/>
                  <a:pt x="189" y="33"/>
                  <a:pt x="187" y="33"/>
                </a:cubicBezTo>
                <a:cubicBezTo>
                  <a:pt x="186" y="33"/>
                  <a:pt x="184" y="32"/>
                  <a:pt x="182" y="32"/>
                </a:cubicBezTo>
                <a:cubicBezTo>
                  <a:pt x="181" y="31"/>
                  <a:pt x="180" y="30"/>
                  <a:pt x="179" y="29"/>
                </a:cubicBezTo>
                <a:cubicBezTo>
                  <a:pt x="178" y="27"/>
                  <a:pt x="178" y="26"/>
                  <a:pt x="177" y="23"/>
                </a:cubicBezTo>
                <a:cubicBezTo>
                  <a:pt x="176" y="23"/>
                  <a:pt x="176" y="23"/>
                  <a:pt x="176" y="23"/>
                </a:cubicBezTo>
                <a:cubicBezTo>
                  <a:pt x="176" y="35"/>
                  <a:pt x="176" y="35"/>
                  <a:pt x="176" y="35"/>
                </a:cubicBezTo>
                <a:cubicBezTo>
                  <a:pt x="177" y="35"/>
                  <a:pt x="177" y="35"/>
                  <a:pt x="177" y="35"/>
                </a:cubicBezTo>
                <a:cubicBezTo>
                  <a:pt x="177" y="34"/>
                  <a:pt x="178" y="33"/>
                  <a:pt x="178" y="33"/>
                </a:cubicBezTo>
                <a:cubicBezTo>
                  <a:pt x="178" y="33"/>
                  <a:pt x="178" y="33"/>
                  <a:pt x="179" y="33"/>
                </a:cubicBezTo>
                <a:cubicBezTo>
                  <a:pt x="179" y="33"/>
                  <a:pt x="180" y="33"/>
                  <a:pt x="182" y="34"/>
                </a:cubicBezTo>
                <a:cubicBezTo>
                  <a:pt x="183" y="34"/>
                  <a:pt x="185" y="34"/>
                  <a:pt x="185" y="35"/>
                </a:cubicBezTo>
                <a:cubicBezTo>
                  <a:pt x="186" y="35"/>
                  <a:pt x="187" y="35"/>
                  <a:pt x="188" y="35"/>
                </a:cubicBezTo>
                <a:cubicBezTo>
                  <a:pt x="191" y="35"/>
                  <a:pt x="193" y="34"/>
                  <a:pt x="195" y="32"/>
                </a:cubicBezTo>
                <a:cubicBezTo>
                  <a:pt x="197" y="30"/>
                  <a:pt x="198" y="28"/>
                  <a:pt x="198" y="25"/>
                </a:cubicBezTo>
                <a:cubicBezTo>
                  <a:pt x="198" y="24"/>
                  <a:pt x="198" y="23"/>
                  <a:pt x="197" y="22"/>
                </a:cubicBezTo>
                <a:cubicBezTo>
                  <a:pt x="197" y="20"/>
                  <a:pt x="196" y="19"/>
                  <a:pt x="195" y="18"/>
                </a:cubicBezTo>
                <a:close/>
              </a:path>
            </a:pathLst>
          </a:custGeom>
          <a:solidFill>
            <a:srgbClr val="FFFFFF"/>
          </a:solidFill>
          <a:ln>
            <a:noFill/>
          </a:ln>
          <a:extLst>
            <a:ext uri="{91240B29-F687-4F45-9708-019B960494DF}">
              <a14:hiddenLine xmlns:a14="http://schemas.microsoft.com/office/drawing/2010/main" w="9525">
                <a:solidFill>
                  <a:srgbClr val="000000"/>
                </a:solidFill>
                <a:round/>
                <a:headEnd/>
                <a:tailEnd/>
              </a14:hiddenLine>
            </a:ext>
          </a:extLst>
        </xdr:spPr>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5</xdr:row>
      <xdr:rowOff>85576</xdr:rowOff>
    </xdr:to>
    <xdr:pic>
      <xdr:nvPicPr>
        <xdr:cNvPr id="299" name="Picture 1"/>
        <xdr:cNvPicPr>
          <a:picLocks noChangeAspect="1"/>
        </xdr:cNvPicPr>
      </xdr:nvPicPr>
      <xdr:blipFill>
        <a:blip xmlns:r="http://schemas.openxmlformats.org/officeDocument/2006/relationships" r:embed="rId1"/>
        <a:stretch>
          <a:fillRect/>
        </a:stretch>
      </xdr:blipFill>
      <xdr:spPr>
        <a:xfrm>
          <a:off x="0" y="0"/>
          <a:ext cx="10163175" cy="1057275"/>
        </a:xfrm>
        <a:prstGeom prst="rect">
          <a:avLst/>
        </a:prstGeom>
        <a:noFill/>
        <a:ln w="9525" cmpd="sng">
          <a:noFill/>
        </a:ln>
      </xdr:spPr>
    </xdr:pic>
    <xdr:clientData/>
  </xdr:twoCellAnchor>
  <xdr:twoCellAnchor>
    <xdr:from>
      <xdr:col>0</xdr:col>
      <xdr:colOff>0</xdr:colOff>
      <xdr:row>21</xdr:row>
      <xdr:rowOff>28277</xdr:rowOff>
    </xdr:from>
    <xdr:to>
      <xdr:col>6</xdr:col>
      <xdr:colOff>0</xdr:colOff>
      <xdr:row>25</xdr:row>
      <xdr:rowOff>0</xdr:rowOff>
    </xdr:to>
    <xdr:pic>
      <xdr:nvPicPr>
        <xdr:cNvPr id="300" name="Picture 2"/>
        <xdr:cNvPicPr>
          <a:picLocks noChangeAspect="1"/>
        </xdr:cNvPicPr>
      </xdr:nvPicPr>
      <xdr:blipFill>
        <a:blip xmlns:r="http://schemas.openxmlformats.org/officeDocument/2006/relationships" r:embed="rId2"/>
        <a:stretch>
          <a:fillRect/>
        </a:stretch>
      </xdr:blipFill>
      <xdr:spPr>
        <a:xfrm>
          <a:off x="0" y="4438650"/>
          <a:ext cx="10163175" cy="714375"/>
        </a:xfrm>
        <a:prstGeom prst="rect">
          <a:avLst/>
        </a:prstGeom>
        <a:noFill/>
        <a:ln w="9525" cmpd="sng">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5</xdr:row>
      <xdr:rowOff>85576</xdr:rowOff>
    </xdr:to>
    <xdr:pic>
      <xdr:nvPicPr>
        <xdr:cNvPr id="269" name="Picture 1"/>
        <xdr:cNvPicPr>
          <a:picLocks noChangeAspect="1"/>
        </xdr:cNvPicPr>
      </xdr:nvPicPr>
      <xdr:blipFill>
        <a:blip xmlns:r="http://schemas.openxmlformats.org/officeDocument/2006/relationships" r:embed="rId1"/>
        <a:stretch>
          <a:fillRect/>
        </a:stretch>
      </xdr:blipFill>
      <xdr:spPr>
        <a:xfrm>
          <a:off x="0" y="0"/>
          <a:ext cx="10058400" cy="1057275"/>
        </a:xfrm>
        <a:prstGeom prst="rect">
          <a:avLst/>
        </a:prstGeom>
        <a:noFill/>
        <a:ln w="9525" cmpd="sng">
          <a:noFill/>
        </a:ln>
      </xdr:spPr>
    </xdr:pic>
    <xdr:clientData/>
  </xdr:twoCellAnchor>
  <xdr:twoCellAnchor>
    <xdr:from>
      <xdr:col>0</xdr:col>
      <xdr:colOff>0</xdr:colOff>
      <xdr:row>21</xdr:row>
      <xdr:rowOff>28277</xdr:rowOff>
    </xdr:from>
    <xdr:to>
      <xdr:col>6</xdr:col>
      <xdr:colOff>0</xdr:colOff>
      <xdr:row>25</xdr:row>
      <xdr:rowOff>0</xdr:rowOff>
    </xdr:to>
    <xdr:pic>
      <xdr:nvPicPr>
        <xdr:cNvPr id="270" name="Picture 2"/>
        <xdr:cNvPicPr>
          <a:picLocks noChangeAspect="1"/>
        </xdr:cNvPicPr>
      </xdr:nvPicPr>
      <xdr:blipFill>
        <a:blip xmlns:r="http://schemas.openxmlformats.org/officeDocument/2006/relationships" r:embed="rId2"/>
        <a:stretch>
          <a:fillRect/>
        </a:stretch>
      </xdr:blipFill>
      <xdr:spPr>
        <a:xfrm>
          <a:off x="0" y="4438650"/>
          <a:ext cx="10058400" cy="714375"/>
        </a:xfrm>
        <a:prstGeom prst="rect">
          <a:avLst/>
        </a:prstGeom>
        <a:noFill/>
        <a:ln w="9525" cmpd="sng">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5</xdr:row>
      <xdr:rowOff>85576</xdr:rowOff>
    </xdr:to>
    <xdr:pic>
      <xdr:nvPicPr>
        <xdr:cNvPr id="269" name="Picture 1"/>
        <xdr:cNvPicPr>
          <a:picLocks noChangeAspect="1"/>
        </xdr:cNvPicPr>
      </xdr:nvPicPr>
      <xdr:blipFill>
        <a:blip xmlns:r="http://schemas.openxmlformats.org/officeDocument/2006/relationships" r:embed="rId1"/>
        <a:stretch>
          <a:fillRect/>
        </a:stretch>
      </xdr:blipFill>
      <xdr:spPr>
        <a:xfrm>
          <a:off x="0" y="0"/>
          <a:ext cx="9991725" cy="1057275"/>
        </a:xfrm>
        <a:prstGeom prst="rect">
          <a:avLst/>
        </a:prstGeom>
        <a:noFill/>
        <a:ln w="9525" cmpd="sng">
          <a:noFill/>
        </a:ln>
      </xdr:spPr>
    </xdr:pic>
    <xdr:clientData/>
  </xdr:twoCellAnchor>
  <xdr:twoCellAnchor>
    <xdr:from>
      <xdr:col>0</xdr:col>
      <xdr:colOff>0</xdr:colOff>
      <xdr:row>20</xdr:row>
      <xdr:rowOff>28277</xdr:rowOff>
    </xdr:from>
    <xdr:to>
      <xdr:col>6</xdr:col>
      <xdr:colOff>0</xdr:colOff>
      <xdr:row>23</xdr:row>
      <xdr:rowOff>180901</xdr:rowOff>
    </xdr:to>
    <xdr:pic>
      <xdr:nvPicPr>
        <xdr:cNvPr id="270" name="Picture 2"/>
        <xdr:cNvPicPr>
          <a:picLocks noChangeAspect="1"/>
        </xdr:cNvPicPr>
      </xdr:nvPicPr>
      <xdr:blipFill>
        <a:blip xmlns:r="http://schemas.openxmlformats.org/officeDocument/2006/relationships" r:embed="rId2"/>
        <a:stretch>
          <a:fillRect/>
        </a:stretch>
      </xdr:blipFill>
      <xdr:spPr>
        <a:xfrm>
          <a:off x="0" y="4248150"/>
          <a:ext cx="9991725" cy="714375"/>
        </a:xfrm>
        <a:prstGeom prst="rect">
          <a:avLst/>
        </a:prstGeom>
        <a:noFill/>
        <a:ln w="9525" cmpd="sng">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5</xdr:row>
      <xdr:rowOff>85576</xdr:rowOff>
    </xdr:to>
    <xdr:pic>
      <xdr:nvPicPr>
        <xdr:cNvPr id="223" name="Picture 1"/>
        <xdr:cNvPicPr>
          <a:picLocks noChangeAspect="1"/>
        </xdr:cNvPicPr>
      </xdr:nvPicPr>
      <xdr:blipFill>
        <a:blip xmlns:r="http://schemas.openxmlformats.org/officeDocument/2006/relationships" r:embed="rId1"/>
        <a:stretch>
          <a:fillRect/>
        </a:stretch>
      </xdr:blipFill>
      <xdr:spPr>
        <a:xfrm>
          <a:off x="0" y="0"/>
          <a:ext cx="10496550" cy="1047750"/>
        </a:xfrm>
        <a:prstGeom prst="rect">
          <a:avLst/>
        </a:prstGeom>
        <a:noFill/>
        <a:ln w="9525" cmpd="sng">
          <a:noFill/>
        </a:ln>
      </xdr:spPr>
    </xdr:pic>
    <xdr:clientData/>
  </xdr:twoCellAnchor>
  <xdr:twoCellAnchor>
    <xdr:from>
      <xdr:col>0</xdr:col>
      <xdr:colOff>0</xdr:colOff>
      <xdr:row>21</xdr:row>
      <xdr:rowOff>47625</xdr:rowOff>
    </xdr:from>
    <xdr:to>
      <xdr:col>6</xdr:col>
      <xdr:colOff>0</xdr:colOff>
      <xdr:row>25</xdr:row>
      <xdr:rowOff>19087</xdr:rowOff>
    </xdr:to>
    <xdr:pic>
      <xdr:nvPicPr>
        <xdr:cNvPr id="224" name="Picture 2"/>
        <xdr:cNvPicPr>
          <a:picLocks noChangeAspect="1"/>
        </xdr:cNvPicPr>
      </xdr:nvPicPr>
      <xdr:blipFill>
        <a:blip xmlns:r="http://schemas.openxmlformats.org/officeDocument/2006/relationships" r:embed="rId2"/>
        <a:stretch>
          <a:fillRect/>
        </a:stretch>
      </xdr:blipFill>
      <xdr:spPr>
        <a:xfrm>
          <a:off x="0" y="4629150"/>
          <a:ext cx="10496550" cy="714375"/>
        </a:xfrm>
        <a:prstGeom prst="rect">
          <a:avLst/>
        </a:prstGeom>
        <a:noFill/>
        <a:ln w="9525" cmpd="sng">
          <a:noFill/>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5</xdr:row>
      <xdr:rowOff>85576</xdr:rowOff>
    </xdr:to>
    <xdr:pic>
      <xdr:nvPicPr>
        <xdr:cNvPr id="223" name="Picture 1"/>
        <xdr:cNvPicPr>
          <a:picLocks noChangeAspect="1"/>
        </xdr:cNvPicPr>
      </xdr:nvPicPr>
      <xdr:blipFill>
        <a:blip xmlns:r="http://schemas.openxmlformats.org/officeDocument/2006/relationships" r:embed="rId1"/>
        <a:stretch>
          <a:fillRect/>
        </a:stretch>
      </xdr:blipFill>
      <xdr:spPr>
        <a:xfrm>
          <a:off x="0" y="0"/>
          <a:ext cx="10439400" cy="1047750"/>
        </a:xfrm>
        <a:prstGeom prst="rect">
          <a:avLst/>
        </a:prstGeom>
        <a:noFill/>
        <a:ln w="9525" cmpd="sng">
          <a:noFill/>
        </a:ln>
      </xdr:spPr>
    </xdr:pic>
    <xdr:clientData/>
  </xdr:twoCellAnchor>
  <xdr:twoCellAnchor>
    <xdr:from>
      <xdr:col>0</xdr:col>
      <xdr:colOff>0</xdr:colOff>
      <xdr:row>20</xdr:row>
      <xdr:rowOff>28277</xdr:rowOff>
    </xdr:from>
    <xdr:to>
      <xdr:col>6</xdr:col>
      <xdr:colOff>0</xdr:colOff>
      <xdr:row>24</xdr:row>
      <xdr:rowOff>0</xdr:rowOff>
    </xdr:to>
    <xdr:pic>
      <xdr:nvPicPr>
        <xdr:cNvPr id="224" name="Picture 2"/>
        <xdr:cNvPicPr>
          <a:picLocks noChangeAspect="1"/>
        </xdr:cNvPicPr>
      </xdr:nvPicPr>
      <xdr:blipFill>
        <a:blip xmlns:r="http://schemas.openxmlformats.org/officeDocument/2006/relationships" r:embed="rId2"/>
        <a:stretch>
          <a:fillRect/>
        </a:stretch>
      </xdr:blipFill>
      <xdr:spPr>
        <a:xfrm>
          <a:off x="0" y="4543425"/>
          <a:ext cx="10439400" cy="714375"/>
        </a:xfrm>
        <a:prstGeom prst="rect">
          <a:avLst/>
        </a:prstGeom>
        <a:noFill/>
        <a:ln w="9525" cmpd="sng">
          <a:noFill/>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5</xdr:row>
      <xdr:rowOff>75902</xdr:rowOff>
    </xdr:to>
    <xdr:pic>
      <xdr:nvPicPr>
        <xdr:cNvPr id="93" name="Picture 1"/>
        <xdr:cNvPicPr>
          <a:picLocks noChangeAspect="1"/>
        </xdr:cNvPicPr>
      </xdr:nvPicPr>
      <xdr:blipFill>
        <a:blip xmlns:r="http://schemas.openxmlformats.org/officeDocument/2006/relationships" r:embed="rId1"/>
        <a:stretch>
          <a:fillRect/>
        </a:stretch>
      </xdr:blipFill>
      <xdr:spPr>
        <a:xfrm>
          <a:off x="0" y="0"/>
          <a:ext cx="10439400" cy="1038225"/>
        </a:xfrm>
        <a:prstGeom prst="rect">
          <a:avLst/>
        </a:prstGeom>
        <a:noFill/>
        <a:ln w="9525" cmpd="sng">
          <a:noFill/>
        </a:ln>
      </xdr:spPr>
    </xdr:pic>
    <xdr:clientData/>
  </xdr:twoCellAnchor>
  <xdr:twoCellAnchor>
    <xdr:from>
      <xdr:col>0</xdr:col>
      <xdr:colOff>0</xdr:colOff>
      <xdr:row>22</xdr:row>
      <xdr:rowOff>0</xdr:rowOff>
    </xdr:from>
    <xdr:to>
      <xdr:col>6</xdr:col>
      <xdr:colOff>0</xdr:colOff>
      <xdr:row>24</xdr:row>
      <xdr:rowOff>142801</xdr:rowOff>
    </xdr:to>
    <xdr:pic>
      <xdr:nvPicPr>
        <xdr:cNvPr id="94" name="Picture 2"/>
        <xdr:cNvPicPr>
          <a:picLocks noChangeAspect="1"/>
        </xdr:cNvPicPr>
      </xdr:nvPicPr>
      <xdr:blipFill>
        <a:blip xmlns:r="http://schemas.openxmlformats.org/officeDocument/2006/relationships" r:embed="rId2"/>
        <a:stretch>
          <a:fillRect/>
        </a:stretch>
      </xdr:blipFill>
      <xdr:spPr>
        <a:xfrm>
          <a:off x="0" y="4772025"/>
          <a:ext cx="10439400" cy="514350"/>
        </a:xfrm>
        <a:prstGeom prst="rect">
          <a:avLst/>
        </a:prstGeom>
        <a:noFill/>
        <a:ln w="9525" cmpd="sng">
          <a:noFill/>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19</xdr:row>
      <xdr:rowOff>76349</xdr:rowOff>
    </xdr:from>
    <xdr:to>
      <xdr:col>4</xdr:col>
      <xdr:colOff>76349</xdr:colOff>
      <xdr:row>22</xdr:row>
      <xdr:rowOff>104626</xdr:rowOff>
    </xdr:to>
    <xdr:pic>
      <xdr:nvPicPr>
        <xdr:cNvPr id="91" name="Picture 2"/>
        <xdr:cNvPicPr>
          <a:picLocks noChangeAspect="1"/>
        </xdr:cNvPicPr>
      </xdr:nvPicPr>
      <xdr:blipFill>
        <a:blip xmlns:r="http://schemas.openxmlformats.org/officeDocument/2006/relationships" r:embed="rId1"/>
        <a:stretch>
          <a:fillRect/>
        </a:stretch>
      </xdr:blipFill>
      <xdr:spPr>
        <a:xfrm>
          <a:off x="0" y="3924300"/>
          <a:ext cx="11029950" cy="571500"/>
        </a:xfrm>
        <a:prstGeom prst="rect">
          <a:avLst/>
        </a:prstGeom>
        <a:noFill/>
        <a:ln w="9525" cmpd="sng">
          <a:noFill/>
        </a:ln>
      </xdr:spPr>
    </xdr:pic>
    <xdr:clientData/>
  </xdr:twoCellAnchor>
  <xdr:twoCellAnchor>
    <xdr:from>
      <xdr:col>0</xdr:col>
      <xdr:colOff>0</xdr:colOff>
      <xdr:row>0</xdr:row>
      <xdr:rowOff>0</xdr:rowOff>
    </xdr:from>
    <xdr:to>
      <xdr:col>3</xdr:col>
      <xdr:colOff>1086073</xdr:colOff>
      <xdr:row>5</xdr:row>
      <xdr:rowOff>75902</xdr:rowOff>
    </xdr:to>
    <xdr:pic>
      <xdr:nvPicPr>
        <xdr:cNvPr id="92" name="Picture 1"/>
        <xdr:cNvPicPr>
          <a:picLocks noChangeAspect="1"/>
        </xdr:cNvPicPr>
      </xdr:nvPicPr>
      <xdr:blipFill>
        <a:blip xmlns:r="http://schemas.openxmlformats.org/officeDocument/2006/relationships" r:embed="rId2"/>
        <a:stretch>
          <a:fillRect/>
        </a:stretch>
      </xdr:blipFill>
      <xdr:spPr>
        <a:xfrm>
          <a:off x="0" y="0"/>
          <a:ext cx="10439400" cy="1047750"/>
        </a:xfrm>
        <a:prstGeom prst="rect">
          <a:avLst/>
        </a:prstGeom>
        <a:noFill/>
        <a:ln w="9525" cmpd="sng">
          <a:noFill/>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57150</xdr:colOff>
      <xdr:row>15</xdr:row>
      <xdr:rowOff>95064</xdr:rowOff>
    </xdr:from>
    <xdr:to>
      <xdr:col>4</xdr:col>
      <xdr:colOff>86841</xdr:colOff>
      <xdr:row>18</xdr:row>
      <xdr:rowOff>75977</xdr:rowOff>
    </xdr:to>
    <xdr:pic>
      <xdr:nvPicPr>
        <xdr:cNvPr id="91" name="Picture 2"/>
        <xdr:cNvPicPr>
          <a:picLocks noChangeAspect="1"/>
        </xdr:cNvPicPr>
      </xdr:nvPicPr>
      <xdr:blipFill>
        <a:blip xmlns:r="http://schemas.openxmlformats.org/officeDocument/2006/relationships" r:embed="rId1"/>
        <a:stretch>
          <a:fillRect/>
        </a:stretch>
      </xdr:blipFill>
      <xdr:spPr>
        <a:xfrm>
          <a:off x="11236974759" y="3914589"/>
          <a:ext cx="10088091" cy="523838"/>
        </a:xfrm>
        <a:prstGeom prst="rect">
          <a:avLst/>
        </a:prstGeom>
        <a:noFill/>
        <a:ln w="9525" cmpd="sng">
          <a:noFill/>
        </a:ln>
      </xdr:spPr>
    </xdr:pic>
    <xdr:clientData/>
  </xdr:twoCellAnchor>
  <xdr:twoCellAnchor>
    <xdr:from>
      <xdr:col>0</xdr:col>
      <xdr:colOff>0</xdr:colOff>
      <xdr:row>0</xdr:row>
      <xdr:rowOff>0</xdr:rowOff>
    </xdr:from>
    <xdr:to>
      <xdr:col>4</xdr:col>
      <xdr:colOff>381744</xdr:colOff>
      <xdr:row>6</xdr:row>
      <xdr:rowOff>0</xdr:rowOff>
    </xdr:to>
    <xdr:pic>
      <xdr:nvPicPr>
        <xdr:cNvPr id="92" name="Picture 1"/>
        <xdr:cNvPicPr>
          <a:picLocks noChangeAspect="1"/>
        </xdr:cNvPicPr>
      </xdr:nvPicPr>
      <xdr:blipFill>
        <a:blip xmlns:r="http://schemas.openxmlformats.org/officeDocument/2006/relationships" r:embed="rId2"/>
        <a:stretch>
          <a:fillRect/>
        </a:stretch>
      </xdr:blipFill>
      <xdr:spPr>
        <a:xfrm>
          <a:off x="0" y="0"/>
          <a:ext cx="10439400" cy="1162050"/>
        </a:xfrm>
        <a:prstGeom prst="rect">
          <a:avLst/>
        </a:prstGeom>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rightToLeft="1" tabSelected="1" workbookViewId="0">
      <selection activeCell="B34" sqref="B34"/>
    </sheetView>
  </sheetViews>
  <sheetFormatPr defaultColWidth="9" defaultRowHeight="14.25" x14ac:dyDescent="0.2"/>
  <cols>
    <col min="1" max="2" width="26.875" customWidth="1"/>
    <col min="3" max="3" width="13.25" style="86" customWidth="1"/>
    <col min="5" max="5" width="13.5" style="86" customWidth="1"/>
    <col min="6" max="6" width="57" bestFit="1" customWidth="1"/>
  </cols>
  <sheetData>
    <row r="1" spans="1:9" ht="15" thickBot="1" x14ac:dyDescent="0.25">
      <c r="A1" s="21"/>
      <c r="B1" s="21"/>
      <c r="C1" s="21"/>
      <c r="D1" s="21"/>
      <c r="E1" s="21"/>
      <c r="F1" s="21"/>
    </row>
    <row r="2" spans="1:9" ht="15" thickBot="1" x14ac:dyDescent="0.25">
      <c r="A2" s="21"/>
      <c r="B2" s="21"/>
      <c r="C2" s="21"/>
      <c r="D2" s="21"/>
      <c r="E2" s="21"/>
      <c r="F2" s="21"/>
    </row>
    <row r="3" spans="1:9" ht="15" thickBot="1" x14ac:dyDescent="0.25">
      <c r="A3" s="21"/>
      <c r="B3" s="21"/>
      <c r="C3" s="21"/>
      <c r="D3" s="21"/>
      <c r="E3" s="21"/>
      <c r="F3" s="21"/>
    </row>
    <row r="4" spans="1:9" ht="15" thickBot="1" x14ac:dyDescent="0.25">
      <c r="A4" s="21"/>
      <c r="B4" s="21"/>
      <c r="C4" s="21"/>
      <c r="D4" s="21"/>
      <c r="E4" s="21"/>
      <c r="F4" s="21"/>
    </row>
    <row r="5" spans="1:9" ht="16.5" thickBot="1" x14ac:dyDescent="0.3">
      <c r="A5" s="22" t="s">
        <v>62</v>
      </c>
      <c r="B5" s="22"/>
      <c r="C5" s="21"/>
      <c r="D5" s="21"/>
      <c r="E5" s="21"/>
      <c r="F5" s="21"/>
    </row>
    <row r="6" spans="1:9" ht="15" thickBot="1" x14ac:dyDescent="0.25">
      <c r="A6" s="21"/>
      <c r="B6" s="21"/>
      <c r="C6" s="21"/>
      <c r="D6" s="21"/>
      <c r="E6" s="21"/>
      <c r="F6" s="21"/>
    </row>
    <row r="7" spans="1:9" ht="45.75" thickBot="1" x14ac:dyDescent="0.25">
      <c r="A7" s="23" t="s">
        <v>16</v>
      </c>
      <c r="B7" s="25" t="s">
        <v>119</v>
      </c>
      <c r="C7" s="25" t="s">
        <v>116</v>
      </c>
      <c r="D7" s="23" t="s">
        <v>17</v>
      </c>
      <c r="E7" s="24" t="s">
        <v>117</v>
      </c>
      <c r="F7" s="23" t="s">
        <v>18</v>
      </c>
    </row>
    <row r="8" spans="1:9" ht="15.75" customHeight="1" thickBot="1" x14ac:dyDescent="0.25">
      <c r="A8" s="26" t="s">
        <v>115</v>
      </c>
      <c r="B8" s="28">
        <v>0.46629999999999999</v>
      </c>
      <c r="C8" s="28">
        <v>0.44</v>
      </c>
      <c r="D8" s="28">
        <v>0.06</v>
      </c>
      <c r="E8" s="29" t="s">
        <v>96</v>
      </c>
      <c r="F8" s="30" t="s">
        <v>97</v>
      </c>
    </row>
    <row r="9" spans="1:9" ht="15" thickBot="1" x14ac:dyDescent="0.25">
      <c r="A9" s="26" t="s">
        <v>20</v>
      </c>
      <c r="B9" s="28">
        <v>0.12540000000000001</v>
      </c>
      <c r="C9" s="28">
        <v>0.13</v>
      </c>
      <c r="D9" s="28">
        <v>0.05</v>
      </c>
      <c r="E9" s="29" t="s">
        <v>80</v>
      </c>
      <c r="F9" s="30" t="s">
        <v>21</v>
      </c>
    </row>
    <row r="10" spans="1:9" ht="36.75" thickBot="1" x14ac:dyDescent="0.25">
      <c r="A10" s="26" t="s">
        <v>114</v>
      </c>
      <c r="B10" s="28">
        <v>0.37869999999999998</v>
      </c>
      <c r="C10" s="28">
        <v>0.35</v>
      </c>
      <c r="D10" s="28">
        <v>0.06</v>
      </c>
      <c r="E10" s="29" t="s">
        <v>59</v>
      </c>
      <c r="F10" s="70" t="s">
        <v>54</v>
      </c>
    </row>
    <row r="11" spans="1:9" ht="15" thickBot="1" x14ac:dyDescent="0.25">
      <c r="A11" s="26" t="s">
        <v>110</v>
      </c>
      <c r="B11" s="28">
        <v>1.4999999999999999E-2</v>
      </c>
      <c r="C11" s="28">
        <v>0.06</v>
      </c>
      <c r="D11" s="28"/>
      <c r="E11" s="29"/>
      <c r="F11" s="32"/>
    </row>
    <row r="12" spans="1:9" ht="15" thickBot="1" x14ac:dyDescent="0.25">
      <c r="A12" s="33" t="s">
        <v>101</v>
      </c>
      <c r="B12" s="94">
        <v>1.46E-2</v>
      </c>
      <c r="C12" s="28">
        <v>0.02</v>
      </c>
      <c r="D12" s="28">
        <v>0.05</v>
      </c>
      <c r="E12" s="29" t="s">
        <v>55</v>
      </c>
      <c r="F12" s="32"/>
    </row>
    <row r="13" spans="1:9" ht="15" thickBot="1" x14ac:dyDescent="0.25">
      <c r="A13" s="26" t="s">
        <v>25</v>
      </c>
      <c r="B13" s="28">
        <v>0.99999999999999989</v>
      </c>
      <c r="C13" s="96">
        <f>SUM(C8:C12)</f>
        <v>1</v>
      </c>
      <c r="D13" s="28"/>
      <c r="E13" s="29"/>
      <c r="F13" s="32"/>
    </row>
    <row r="14" spans="1:9" ht="15" thickBot="1" x14ac:dyDescent="0.25">
      <c r="A14" s="34" t="s">
        <v>102</v>
      </c>
      <c r="B14" s="28">
        <v>0.2142</v>
      </c>
      <c r="C14" s="105">
        <v>0.2</v>
      </c>
      <c r="D14" s="28">
        <v>0.06</v>
      </c>
      <c r="E14" s="106" t="s">
        <v>118</v>
      </c>
      <c r="F14" s="32"/>
    </row>
    <row r="15" spans="1:9" s="86" customFormat="1" ht="15" thickBot="1" x14ac:dyDescent="0.25">
      <c r="A15" s="36" t="s">
        <v>27</v>
      </c>
      <c r="B15" s="36"/>
      <c r="C15" s="37"/>
      <c r="D15" s="35"/>
      <c r="E15" s="35"/>
      <c r="F15" s="35"/>
      <c r="I15" s="129"/>
    </row>
    <row r="16" spans="1:9" s="86" customFormat="1" ht="15" thickBot="1" x14ac:dyDescent="0.25">
      <c r="A16" s="36" t="s">
        <v>113</v>
      </c>
      <c r="B16" s="36"/>
      <c r="C16" s="37"/>
      <c r="D16" s="35"/>
      <c r="E16" s="35"/>
      <c r="F16" s="35"/>
    </row>
    <row r="17" spans="1:6" ht="15" thickBot="1" x14ac:dyDescent="0.25">
      <c r="A17" s="36" t="s">
        <v>111</v>
      </c>
      <c r="B17" s="36"/>
      <c r="C17" s="37"/>
      <c r="D17" s="35"/>
      <c r="E17" s="35"/>
      <c r="F17" s="35"/>
    </row>
    <row r="18" spans="1:6" ht="15" thickBot="1" x14ac:dyDescent="0.25">
      <c r="A18" s="36" t="s">
        <v>104</v>
      </c>
      <c r="B18" s="36"/>
      <c r="C18" s="37"/>
      <c r="D18" s="35"/>
      <c r="E18" s="35"/>
      <c r="F18" s="35"/>
    </row>
    <row r="19" spans="1:6" s="86" customFormat="1" ht="15" thickBot="1" x14ac:dyDescent="0.25">
      <c r="A19" s="36" t="s">
        <v>112</v>
      </c>
      <c r="B19" s="36"/>
      <c r="C19" s="37"/>
      <c r="D19" s="35"/>
      <c r="E19" s="35"/>
      <c r="F19" s="35"/>
    </row>
    <row r="20" spans="1:6" x14ac:dyDescent="0.2">
      <c r="A20" s="107" t="s">
        <v>103</v>
      </c>
      <c r="B20" s="108"/>
      <c r="C20" s="108"/>
      <c r="D20" s="108"/>
      <c r="E20" s="108"/>
      <c r="F20" s="109"/>
    </row>
    <row r="21" spans="1:6" s="86" customFormat="1" ht="15" thickBot="1" x14ac:dyDescent="0.25">
      <c r="A21" s="110"/>
      <c r="B21" s="111"/>
      <c r="C21" s="111"/>
      <c r="D21" s="111"/>
      <c r="E21" s="111"/>
      <c r="F21" s="112"/>
    </row>
    <row r="22" spans="1:6" ht="15" thickBot="1" x14ac:dyDescent="0.25">
      <c r="A22" s="36"/>
      <c r="B22" s="36"/>
      <c r="C22" s="21"/>
      <c r="D22" s="21"/>
      <c r="E22" s="21"/>
      <c r="F22" s="21"/>
    </row>
    <row r="23" spans="1:6" ht="15" thickBot="1" x14ac:dyDescent="0.25">
      <c r="A23" s="21"/>
      <c r="B23" s="21"/>
      <c r="C23" s="21"/>
      <c r="D23" s="21"/>
      <c r="E23" s="21"/>
      <c r="F23" s="21"/>
    </row>
    <row r="25" spans="1:6" ht="15.75" x14ac:dyDescent="0.25">
      <c r="A25" s="89"/>
    </row>
    <row r="34" spans="2:2" x14ac:dyDescent="0.2">
      <c r="B34" s="86"/>
    </row>
  </sheetData>
  <mergeCells count="1">
    <mergeCell ref="A20:F2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rightToLeft="1" workbookViewId="0">
      <selection activeCell="B11" sqref="B11"/>
    </sheetView>
  </sheetViews>
  <sheetFormatPr defaultColWidth="9" defaultRowHeight="14.25" x14ac:dyDescent="0.2"/>
  <cols>
    <col min="1" max="2" width="26.875" customWidth="1"/>
    <col min="3" max="3" width="14.875" style="86" customWidth="1"/>
    <col min="5" max="5" width="13.625" style="86" customWidth="1"/>
    <col min="6" max="6" width="57" bestFit="1" customWidth="1"/>
  </cols>
  <sheetData>
    <row r="1" spans="1:9" ht="15" thickBot="1" x14ac:dyDescent="0.25">
      <c r="A1" s="21"/>
      <c r="B1" s="21"/>
      <c r="C1" s="21"/>
      <c r="D1" s="21"/>
      <c r="E1" s="21"/>
      <c r="F1" s="21"/>
    </row>
    <row r="2" spans="1:9" ht="15" thickBot="1" x14ac:dyDescent="0.25">
      <c r="A2" s="21"/>
      <c r="B2" s="21"/>
      <c r="C2" s="21"/>
      <c r="D2" s="21"/>
      <c r="E2" s="21"/>
      <c r="F2" s="21"/>
    </row>
    <row r="3" spans="1:9" ht="15" thickBot="1" x14ac:dyDescent="0.25">
      <c r="A3" s="21"/>
      <c r="B3" s="21"/>
      <c r="C3" s="21"/>
      <c r="D3" s="21"/>
      <c r="E3" s="21"/>
      <c r="F3" s="21"/>
    </row>
    <row r="4" spans="1:9" ht="15" thickBot="1" x14ac:dyDescent="0.25">
      <c r="A4" s="21"/>
      <c r="B4" s="21"/>
      <c r="C4" s="21"/>
      <c r="D4" s="21"/>
      <c r="E4" s="21"/>
      <c r="F4" s="21"/>
    </row>
    <row r="5" spans="1:9" ht="16.5" thickBot="1" x14ac:dyDescent="0.3">
      <c r="A5" s="22" t="s">
        <v>63</v>
      </c>
      <c r="B5" s="22"/>
      <c r="C5" s="21"/>
      <c r="D5" s="21"/>
      <c r="E5" s="21"/>
      <c r="F5" s="21"/>
    </row>
    <row r="6" spans="1:9" s="86" customFormat="1" ht="16.5" thickBot="1" x14ac:dyDescent="0.3">
      <c r="A6" s="22"/>
      <c r="B6" s="22"/>
      <c r="C6" s="21"/>
      <c r="D6" s="21"/>
      <c r="E6" s="21"/>
      <c r="F6" s="21"/>
    </row>
    <row r="7" spans="1:9" ht="15" thickBot="1" x14ac:dyDescent="0.25">
      <c r="A7" s="21"/>
      <c r="B7" s="21"/>
      <c r="C7" s="21"/>
      <c r="D7" s="21"/>
      <c r="E7" s="21"/>
      <c r="F7" s="21"/>
    </row>
    <row r="8" spans="1:9" ht="45.75" thickBot="1" x14ac:dyDescent="0.25">
      <c r="A8" s="23" t="s">
        <v>16</v>
      </c>
      <c r="B8" s="25" t="s">
        <v>119</v>
      </c>
      <c r="C8" s="25" t="s">
        <v>116</v>
      </c>
      <c r="D8" s="23" t="s">
        <v>17</v>
      </c>
      <c r="E8" s="24" t="s">
        <v>117</v>
      </c>
      <c r="F8" s="23" t="s">
        <v>18</v>
      </c>
    </row>
    <row r="9" spans="1:9" ht="15.75" customHeight="1" thickBot="1" x14ac:dyDescent="0.25">
      <c r="A9" s="26" t="s">
        <v>122</v>
      </c>
      <c r="B9" s="28">
        <v>0.3659</v>
      </c>
      <c r="C9" s="105">
        <v>0.35</v>
      </c>
      <c r="D9" s="28">
        <v>0.06</v>
      </c>
      <c r="E9" s="105" t="s">
        <v>59</v>
      </c>
      <c r="F9" s="30" t="s">
        <v>97</v>
      </c>
    </row>
    <row r="10" spans="1:9" ht="15" thickBot="1" x14ac:dyDescent="0.25">
      <c r="A10" s="26" t="s">
        <v>20</v>
      </c>
      <c r="B10" s="28">
        <v>0.26640000000000003</v>
      </c>
      <c r="C10" s="105">
        <v>0.25</v>
      </c>
      <c r="D10" s="28">
        <v>0.05</v>
      </c>
      <c r="E10" s="106" t="s">
        <v>93</v>
      </c>
      <c r="F10" s="30" t="s">
        <v>21</v>
      </c>
    </row>
    <row r="11" spans="1:9" ht="36.75" thickBot="1" x14ac:dyDescent="0.25">
      <c r="A11" s="26" t="s">
        <v>114</v>
      </c>
      <c r="B11" s="28">
        <v>0.32829999999999998</v>
      </c>
      <c r="C11" s="105">
        <v>0.34</v>
      </c>
      <c r="D11" s="28">
        <v>0.06</v>
      </c>
      <c r="E11" s="106" t="s">
        <v>67</v>
      </c>
      <c r="F11" s="70" t="s">
        <v>54</v>
      </c>
    </row>
    <row r="12" spans="1:9" ht="15" thickBot="1" x14ac:dyDescent="0.25">
      <c r="A12" s="26" t="s">
        <v>110</v>
      </c>
      <c r="B12" s="28">
        <v>2.9500000000000012E-2</v>
      </c>
      <c r="C12" s="105">
        <v>0.04</v>
      </c>
      <c r="D12" s="28"/>
      <c r="E12" s="106"/>
      <c r="F12" s="32"/>
    </row>
    <row r="13" spans="1:9" ht="15" thickBot="1" x14ac:dyDescent="0.25">
      <c r="A13" s="33" t="s">
        <v>101</v>
      </c>
      <c r="B13" s="94">
        <v>9.9000000000000008E-3</v>
      </c>
      <c r="C13" s="105">
        <v>0.02</v>
      </c>
      <c r="D13" s="28">
        <v>0.05</v>
      </c>
      <c r="E13" s="106" t="s">
        <v>55</v>
      </c>
      <c r="F13" s="32"/>
      <c r="G13" s="83"/>
      <c r="I13" s="129"/>
    </row>
    <row r="14" spans="1:9" ht="15" thickBot="1" x14ac:dyDescent="0.25">
      <c r="A14" s="26" t="s">
        <v>25</v>
      </c>
      <c r="B14" s="28">
        <v>1</v>
      </c>
      <c r="C14" s="96">
        <f>SUM(C9:C13)</f>
        <v>1</v>
      </c>
      <c r="D14" s="28"/>
      <c r="E14" s="106"/>
      <c r="F14" s="32"/>
    </row>
    <row r="15" spans="1:9" ht="15" thickBot="1" x14ac:dyDescent="0.25">
      <c r="A15" s="34" t="s">
        <v>102</v>
      </c>
      <c r="B15" s="28">
        <v>0.18770000000000001</v>
      </c>
      <c r="C15" s="105">
        <v>0.2</v>
      </c>
      <c r="D15" s="28">
        <v>0.06</v>
      </c>
      <c r="E15" s="105" t="s">
        <v>118</v>
      </c>
      <c r="F15" s="32"/>
    </row>
    <row r="16" spans="1:9" s="86" customFormat="1" ht="15" thickBot="1" x14ac:dyDescent="0.25">
      <c r="A16" s="36" t="s">
        <v>27</v>
      </c>
      <c r="B16" s="36"/>
      <c r="C16" s="37"/>
      <c r="D16" s="35"/>
      <c r="E16" s="35"/>
      <c r="F16" s="35"/>
    </row>
    <row r="17" spans="1:6" s="86" customFormat="1" ht="15" thickBot="1" x14ac:dyDescent="0.25">
      <c r="A17" s="36" t="s">
        <v>113</v>
      </c>
      <c r="B17" s="36"/>
      <c r="C17" s="37"/>
      <c r="D17" s="35"/>
      <c r="E17" s="35"/>
      <c r="F17" s="35"/>
    </row>
    <row r="18" spans="1:6" ht="15" thickBot="1" x14ac:dyDescent="0.25">
      <c r="A18" s="36" t="s">
        <v>111</v>
      </c>
      <c r="B18" s="36"/>
      <c r="C18" s="37"/>
      <c r="D18" s="35"/>
      <c r="E18" s="35"/>
      <c r="F18" s="35"/>
    </row>
    <row r="19" spans="1:6" ht="15" thickBot="1" x14ac:dyDescent="0.25">
      <c r="A19" s="36" t="s">
        <v>104</v>
      </c>
      <c r="B19" s="36"/>
      <c r="C19" s="37"/>
      <c r="D19" s="35"/>
      <c r="E19" s="35"/>
      <c r="F19" s="35"/>
    </row>
    <row r="20" spans="1:6" s="86" customFormat="1" ht="15" thickBot="1" x14ac:dyDescent="0.25">
      <c r="A20" s="36" t="s">
        <v>112</v>
      </c>
      <c r="B20" s="36"/>
      <c r="C20" s="37"/>
      <c r="D20" s="35"/>
      <c r="E20" s="35"/>
      <c r="F20" s="35"/>
    </row>
    <row r="21" spans="1:6" x14ac:dyDescent="0.2">
      <c r="A21" s="107" t="s">
        <v>103</v>
      </c>
      <c r="B21" s="108"/>
      <c r="C21" s="108"/>
      <c r="D21" s="108"/>
      <c r="E21" s="108"/>
      <c r="F21" s="109"/>
    </row>
    <row r="22" spans="1:6" s="86" customFormat="1" ht="15" thickBot="1" x14ac:dyDescent="0.25">
      <c r="A22" s="110"/>
      <c r="B22" s="111"/>
      <c r="C22" s="111"/>
      <c r="D22" s="111"/>
      <c r="E22" s="111"/>
      <c r="F22" s="112"/>
    </row>
    <row r="23" spans="1:6" ht="15" thickBot="1" x14ac:dyDescent="0.25">
      <c r="A23" s="36"/>
      <c r="B23" s="36"/>
      <c r="C23" s="21"/>
      <c r="D23" s="21"/>
      <c r="E23" s="21"/>
      <c r="F23" s="21"/>
    </row>
    <row r="24" spans="1:6" ht="15" thickBot="1" x14ac:dyDescent="0.25">
      <c r="A24" s="21"/>
      <c r="B24" s="21"/>
      <c r="C24" s="21"/>
      <c r="D24" s="21"/>
      <c r="E24" s="21"/>
      <c r="F24" s="21"/>
    </row>
    <row r="30" spans="1:6" x14ac:dyDescent="0.2">
      <c r="D30" s="86"/>
      <c r="F30" s="86"/>
    </row>
    <row r="31" spans="1:6" x14ac:dyDescent="0.2">
      <c r="D31" s="86"/>
      <c r="F31" s="86"/>
    </row>
    <row r="32" spans="1:6" x14ac:dyDescent="0.2">
      <c r="D32" s="86"/>
      <c r="F32" s="86"/>
    </row>
    <row r="33" spans="4:6" x14ac:dyDescent="0.2">
      <c r="D33" s="86"/>
      <c r="F33" s="86"/>
    </row>
    <row r="34" spans="4:6" x14ac:dyDescent="0.2">
      <c r="D34" s="86"/>
      <c r="F34" s="86"/>
    </row>
  </sheetData>
  <mergeCells count="1">
    <mergeCell ref="A21:F22"/>
  </mergeCells>
  <pageMargins left="0.7" right="0.7" top="0.75" bottom="0.75" header="0.3" footer="0.3"/>
  <pageSetup paperSize="9" orientation="portrait"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rightToLeft="1" workbookViewId="0">
      <selection activeCell="B11" sqref="B11"/>
    </sheetView>
  </sheetViews>
  <sheetFormatPr defaultColWidth="9" defaultRowHeight="14.25" x14ac:dyDescent="0.2"/>
  <cols>
    <col min="1" max="2" width="26.875" customWidth="1"/>
    <col min="3" max="3" width="13.25" style="86" customWidth="1"/>
    <col min="5" max="5" width="26.75" customWidth="1"/>
    <col min="6" max="6" width="57" bestFit="1" customWidth="1"/>
    <col min="9" max="12" width="9" style="131"/>
  </cols>
  <sheetData>
    <row r="1" spans="1:12" s="95" customFormat="1" ht="15" thickBot="1" x14ac:dyDescent="0.25">
      <c r="A1" s="103"/>
      <c r="B1" s="103"/>
      <c r="C1" s="103"/>
      <c r="D1" s="103"/>
      <c r="I1" s="130"/>
      <c r="J1" s="130"/>
      <c r="K1" s="130"/>
      <c r="L1" s="130"/>
    </row>
    <row r="2" spans="1:12" s="95" customFormat="1" ht="15" thickBot="1" x14ac:dyDescent="0.25">
      <c r="A2" s="103"/>
      <c r="B2" s="103"/>
      <c r="C2" s="103"/>
      <c r="D2" s="103"/>
      <c r="I2" s="130"/>
      <c r="J2" s="130"/>
      <c r="K2" s="130"/>
      <c r="L2" s="130"/>
    </row>
    <row r="3" spans="1:12" s="95" customFormat="1" ht="15" thickBot="1" x14ac:dyDescent="0.25">
      <c r="A3" s="103"/>
      <c r="B3" s="103"/>
      <c r="C3" s="103"/>
      <c r="D3" s="103"/>
      <c r="I3" s="130"/>
      <c r="J3" s="130"/>
      <c r="K3" s="130"/>
      <c r="L3" s="130"/>
    </row>
    <row r="4" spans="1:12" s="95" customFormat="1" ht="15" thickBot="1" x14ac:dyDescent="0.25">
      <c r="A4" s="103"/>
      <c r="B4" s="103"/>
      <c r="C4" s="103"/>
      <c r="D4" s="103"/>
      <c r="I4" s="130"/>
      <c r="J4" s="130"/>
      <c r="K4" s="130"/>
      <c r="L4" s="130"/>
    </row>
    <row r="5" spans="1:12" s="95" customFormat="1" ht="16.5" thickBot="1" x14ac:dyDescent="0.3">
      <c r="A5" s="104" t="s">
        <v>64</v>
      </c>
      <c r="B5" s="104"/>
      <c r="C5" s="103"/>
      <c r="D5" s="103"/>
      <c r="I5" s="130"/>
      <c r="J5" s="130"/>
      <c r="K5" s="130"/>
      <c r="L5" s="130"/>
    </row>
    <row r="6" spans="1:12" s="95" customFormat="1" ht="15" thickBot="1" x14ac:dyDescent="0.25">
      <c r="A6" s="103"/>
      <c r="B6" s="103"/>
      <c r="C6" s="103"/>
      <c r="D6" s="103"/>
      <c r="I6" s="130"/>
      <c r="J6" s="130"/>
      <c r="K6" s="130"/>
      <c r="L6" s="130"/>
    </row>
    <row r="7" spans="1:12" ht="30.75" thickBot="1" x14ac:dyDescent="0.25">
      <c r="A7" s="23" t="s">
        <v>16</v>
      </c>
      <c r="B7" s="25" t="s">
        <v>119</v>
      </c>
      <c r="C7" s="25" t="s">
        <v>116</v>
      </c>
      <c r="D7" s="23" t="s">
        <v>17</v>
      </c>
      <c r="E7" s="24" t="s">
        <v>117</v>
      </c>
      <c r="F7" s="23" t="s">
        <v>18</v>
      </c>
    </row>
    <row r="8" spans="1:12" ht="15.75" customHeight="1" thickBot="1" x14ac:dyDescent="0.25">
      <c r="A8" s="26" t="s">
        <v>115</v>
      </c>
      <c r="B8" s="28">
        <v>0.18870000000000001</v>
      </c>
      <c r="C8" s="28">
        <v>0.17</v>
      </c>
      <c r="D8" s="28">
        <v>0.06</v>
      </c>
      <c r="E8" s="29" t="s">
        <v>26</v>
      </c>
      <c r="F8" s="30" t="s">
        <v>97</v>
      </c>
    </row>
    <row r="9" spans="1:12" ht="15" thickBot="1" x14ac:dyDescent="0.25">
      <c r="A9" s="26" t="s">
        <v>20</v>
      </c>
      <c r="B9" s="28">
        <v>0.3473</v>
      </c>
      <c r="C9" s="28">
        <v>0.33</v>
      </c>
      <c r="D9" s="28">
        <v>0.05</v>
      </c>
      <c r="E9" s="29" t="s">
        <v>82</v>
      </c>
      <c r="F9" s="30" t="s">
        <v>21</v>
      </c>
    </row>
    <row r="10" spans="1:12" ht="24.75" thickBot="1" x14ac:dyDescent="0.25">
      <c r="A10" s="26" t="s">
        <v>114</v>
      </c>
      <c r="B10" s="28">
        <v>0.38109999999999999</v>
      </c>
      <c r="C10" s="28">
        <v>0.4</v>
      </c>
      <c r="D10" s="28">
        <v>0.06</v>
      </c>
      <c r="E10" s="29" t="s">
        <v>95</v>
      </c>
      <c r="F10" s="70" t="s">
        <v>23</v>
      </c>
    </row>
    <row r="11" spans="1:12" ht="15" thickBot="1" x14ac:dyDescent="0.25">
      <c r="A11" s="26" t="s">
        <v>110</v>
      </c>
      <c r="B11" s="28">
        <v>7.350000000000001E-2</v>
      </c>
      <c r="C11" s="28">
        <v>0.08</v>
      </c>
      <c r="D11" s="28"/>
      <c r="E11" s="29"/>
      <c r="F11" s="32"/>
    </row>
    <row r="12" spans="1:12" ht="15" thickBot="1" x14ac:dyDescent="0.25">
      <c r="A12" s="33" t="s">
        <v>101</v>
      </c>
      <c r="B12" s="28">
        <v>9.4000000000000004E-3</v>
      </c>
      <c r="C12" s="28">
        <v>0.02</v>
      </c>
      <c r="D12" s="28">
        <v>0.05</v>
      </c>
      <c r="E12" s="29" t="s">
        <v>55</v>
      </c>
      <c r="F12" s="32"/>
    </row>
    <row r="13" spans="1:12" ht="15" thickBot="1" x14ac:dyDescent="0.25">
      <c r="A13" s="26" t="s">
        <v>25</v>
      </c>
      <c r="B13" s="28">
        <f>SUM(B8:B12)</f>
        <v>1</v>
      </c>
      <c r="C13" s="97">
        <f>SUM(C8:C12)</f>
        <v>1</v>
      </c>
      <c r="D13" s="28"/>
      <c r="E13" s="29"/>
      <c r="F13" s="32"/>
    </row>
    <row r="14" spans="1:12" ht="15" thickBot="1" x14ac:dyDescent="0.25">
      <c r="A14" s="34" t="s">
        <v>102</v>
      </c>
      <c r="B14" s="28">
        <v>0.16120000000000001</v>
      </c>
      <c r="C14" s="28">
        <v>0.16</v>
      </c>
      <c r="D14" s="28">
        <v>0.06</v>
      </c>
      <c r="E14" s="29" t="s">
        <v>121</v>
      </c>
      <c r="F14" s="32"/>
    </row>
    <row r="15" spans="1:12" s="86" customFormat="1" ht="15" thickBot="1" x14ac:dyDescent="0.25">
      <c r="A15" s="36" t="s">
        <v>27</v>
      </c>
      <c r="B15" s="36"/>
      <c r="C15" s="37"/>
      <c r="D15" s="35"/>
      <c r="E15" s="35"/>
      <c r="F15" s="35"/>
      <c r="I15" s="131"/>
      <c r="J15" s="131"/>
      <c r="K15" s="131"/>
      <c r="L15" s="131"/>
    </row>
    <row r="16" spans="1:12" s="86" customFormat="1" ht="15" thickBot="1" x14ac:dyDescent="0.25">
      <c r="A16" s="36" t="s">
        <v>113</v>
      </c>
      <c r="B16" s="36"/>
      <c r="C16" s="37"/>
      <c r="D16" s="35"/>
      <c r="E16" s="35"/>
      <c r="F16" s="35"/>
      <c r="I16" s="131"/>
      <c r="J16" s="131"/>
      <c r="K16" s="131"/>
      <c r="L16" s="131"/>
    </row>
    <row r="17" spans="1:12" ht="15" thickBot="1" x14ac:dyDescent="0.25">
      <c r="A17" s="36" t="s">
        <v>111</v>
      </c>
      <c r="B17" s="36"/>
      <c r="C17" s="37"/>
      <c r="D17" s="35"/>
      <c r="E17" s="35"/>
      <c r="F17" s="35"/>
    </row>
    <row r="18" spans="1:12" ht="15" thickBot="1" x14ac:dyDescent="0.25">
      <c r="A18" s="36" t="s">
        <v>104</v>
      </c>
      <c r="B18" s="36"/>
      <c r="C18" s="37"/>
      <c r="D18" s="35"/>
      <c r="E18" s="35"/>
      <c r="F18" s="35"/>
    </row>
    <row r="19" spans="1:12" s="86" customFormat="1" ht="15" thickBot="1" x14ac:dyDescent="0.25">
      <c r="A19" s="36" t="s">
        <v>112</v>
      </c>
      <c r="B19" s="36"/>
      <c r="C19" s="37"/>
      <c r="D19" s="35"/>
      <c r="E19" s="35"/>
      <c r="F19" s="35"/>
      <c r="I19" s="131"/>
      <c r="J19" s="131"/>
      <c r="K19" s="131"/>
      <c r="L19" s="131"/>
    </row>
    <row r="20" spans="1:12" x14ac:dyDescent="0.2">
      <c r="A20" s="107" t="s">
        <v>103</v>
      </c>
      <c r="B20" s="108"/>
      <c r="C20" s="108"/>
      <c r="D20" s="108"/>
      <c r="E20" s="108"/>
      <c r="F20" s="109"/>
    </row>
    <row r="21" spans="1:12" s="86" customFormat="1" ht="15" thickBot="1" x14ac:dyDescent="0.25">
      <c r="A21" s="110"/>
      <c r="B21" s="111"/>
      <c r="C21" s="111"/>
      <c r="D21" s="111"/>
      <c r="E21" s="111"/>
      <c r="F21" s="112"/>
      <c r="I21" s="131"/>
      <c r="J21" s="131"/>
      <c r="K21" s="131"/>
      <c r="L21" s="131"/>
    </row>
    <row r="22" spans="1:12" ht="15" thickBot="1" x14ac:dyDescent="0.25">
      <c r="A22" s="36"/>
      <c r="B22" s="36"/>
      <c r="C22" s="21"/>
      <c r="D22" s="21"/>
      <c r="E22" s="21"/>
      <c r="F22" s="21"/>
    </row>
    <row r="23" spans="1:12" ht="15" thickBot="1" x14ac:dyDescent="0.25">
      <c r="A23" s="21"/>
      <c r="B23" s="21"/>
      <c r="C23" s="21"/>
      <c r="D23" s="21"/>
      <c r="E23" s="21"/>
      <c r="F23" s="21"/>
    </row>
    <row r="28" spans="1:12" x14ac:dyDescent="0.2">
      <c r="E28" s="86"/>
    </row>
  </sheetData>
  <mergeCells count="1">
    <mergeCell ref="A20:F2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rightToLeft="1" workbookViewId="0">
      <selection activeCell="B10" sqref="B10"/>
    </sheetView>
  </sheetViews>
  <sheetFormatPr defaultColWidth="9" defaultRowHeight="14.25" x14ac:dyDescent="0.2"/>
  <cols>
    <col min="1" max="1" width="26.875" customWidth="1"/>
    <col min="2" max="2" width="14" bestFit="1" customWidth="1"/>
    <col min="3" max="3" width="10.75" style="86" customWidth="1"/>
    <col min="4" max="4" width="11.5" customWidth="1"/>
    <col min="5" max="5" width="13.25" style="86" customWidth="1"/>
    <col min="6" max="6" width="57" bestFit="1" customWidth="1"/>
    <col min="10" max="10" width="9" style="137"/>
  </cols>
  <sheetData>
    <row r="1" spans="1:10" ht="15" thickBot="1" x14ac:dyDescent="0.25">
      <c r="A1" s="21"/>
      <c r="B1" s="21"/>
      <c r="C1" s="21"/>
      <c r="D1" s="21"/>
      <c r="E1" s="21"/>
      <c r="F1" s="21"/>
    </row>
    <row r="2" spans="1:10" ht="15" thickBot="1" x14ac:dyDescent="0.25">
      <c r="A2" s="21"/>
      <c r="B2" s="21"/>
      <c r="C2" s="21"/>
      <c r="D2" s="21"/>
      <c r="E2" s="21"/>
      <c r="F2" s="21"/>
    </row>
    <row r="3" spans="1:10" ht="15" thickBot="1" x14ac:dyDescent="0.25">
      <c r="A3" s="21"/>
      <c r="B3" s="21"/>
      <c r="C3" s="21"/>
      <c r="D3" s="21"/>
      <c r="E3" s="21"/>
      <c r="F3" s="21"/>
    </row>
    <row r="4" spans="1:10" ht="15" thickBot="1" x14ac:dyDescent="0.25">
      <c r="A4" s="21"/>
      <c r="B4" s="21"/>
      <c r="C4" s="21"/>
      <c r="D4" s="21"/>
      <c r="E4" s="21"/>
      <c r="F4" s="21"/>
    </row>
    <row r="5" spans="1:10" ht="16.5" thickBot="1" x14ac:dyDescent="0.3">
      <c r="A5" s="22" t="s">
        <v>15</v>
      </c>
      <c r="B5" s="22"/>
      <c r="C5" s="22"/>
      <c r="D5" s="21"/>
      <c r="E5" s="21"/>
      <c r="F5" s="21"/>
    </row>
    <row r="6" spans="1:10" ht="15" thickBot="1" x14ac:dyDescent="0.25">
      <c r="A6" s="21"/>
      <c r="B6" s="21"/>
      <c r="C6" s="21"/>
      <c r="D6" s="21"/>
      <c r="E6" s="21"/>
      <c r="F6" s="21"/>
    </row>
    <row r="7" spans="1:10" ht="45.75" thickBot="1" x14ac:dyDescent="0.25">
      <c r="A7" s="23" t="s">
        <v>16</v>
      </c>
      <c r="B7" s="25" t="s">
        <v>119</v>
      </c>
      <c r="C7" s="25" t="s">
        <v>116</v>
      </c>
      <c r="D7" s="23" t="s">
        <v>17</v>
      </c>
      <c r="E7" s="24" t="s">
        <v>117</v>
      </c>
      <c r="F7" s="23" t="s">
        <v>18</v>
      </c>
    </row>
    <row r="8" spans="1:10" ht="15.75" customHeight="1" thickBot="1" x14ac:dyDescent="0.25">
      <c r="A8" s="26" t="s">
        <v>115</v>
      </c>
      <c r="B8" s="132">
        <v>0.39439999999999997</v>
      </c>
      <c r="C8" s="99">
        <v>0.35</v>
      </c>
      <c r="D8" s="98">
        <v>0.06</v>
      </c>
      <c r="E8" s="133" t="s">
        <v>59</v>
      </c>
      <c r="F8" s="134" t="s">
        <v>98</v>
      </c>
    </row>
    <row r="9" spans="1:10" ht="15" thickBot="1" x14ac:dyDescent="0.25">
      <c r="A9" s="26" t="s">
        <v>20</v>
      </c>
      <c r="B9" s="132">
        <v>0.15959999999999999</v>
      </c>
      <c r="C9" s="99">
        <v>0.15</v>
      </c>
      <c r="D9" s="98">
        <v>0.05</v>
      </c>
      <c r="E9" s="133" t="s">
        <v>81</v>
      </c>
      <c r="F9" s="134" t="s">
        <v>21</v>
      </c>
    </row>
    <row r="10" spans="1:10" ht="15" thickBot="1" x14ac:dyDescent="0.25">
      <c r="A10" s="26" t="s">
        <v>114</v>
      </c>
      <c r="B10" s="132">
        <v>0.30959999999999999</v>
      </c>
      <c r="C10" s="99">
        <v>0.32</v>
      </c>
      <c r="D10" s="98">
        <v>0.06</v>
      </c>
      <c r="E10" s="133" t="s">
        <v>94</v>
      </c>
      <c r="F10" s="135" t="s">
        <v>23</v>
      </c>
    </row>
    <row r="11" spans="1:10" ht="15" thickBot="1" x14ac:dyDescent="0.25">
      <c r="A11" s="26" t="s">
        <v>110</v>
      </c>
      <c r="B11" s="132">
        <v>9.5799999999999996E-2</v>
      </c>
      <c r="C11" s="99">
        <v>0.16</v>
      </c>
      <c r="D11" s="98"/>
      <c r="E11" s="133"/>
      <c r="F11" s="136"/>
    </row>
    <row r="12" spans="1:10" ht="15" thickBot="1" x14ac:dyDescent="0.25">
      <c r="A12" s="33" t="s">
        <v>101</v>
      </c>
      <c r="B12" s="132">
        <v>4.0599999999999997E-2</v>
      </c>
      <c r="C12" s="99">
        <v>0.02</v>
      </c>
      <c r="D12" s="98">
        <v>0.05</v>
      </c>
      <c r="E12" s="133" t="s">
        <v>55</v>
      </c>
      <c r="F12" s="136"/>
    </row>
    <row r="13" spans="1:10" ht="15" thickBot="1" x14ac:dyDescent="0.25">
      <c r="A13" s="26" t="s">
        <v>25</v>
      </c>
      <c r="B13" s="132">
        <f>B8+B9+B10+B11+B12</f>
        <v>0.99999999999999989</v>
      </c>
      <c r="C13" s="132">
        <v>1</v>
      </c>
      <c r="D13" s="98"/>
      <c r="E13" s="133"/>
      <c r="F13" s="136"/>
    </row>
    <row r="14" spans="1:10" ht="15" thickBot="1" x14ac:dyDescent="0.25">
      <c r="A14" s="34" t="s">
        <v>102</v>
      </c>
      <c r="B14" s="132">
        <v>0.2021</v>
      </c>
      <c r="C14" s="99">
        <v>0.2</v>
      </c>
      <c r="D14" s="98">
        <v>0.06</v>
      </c>
      <c r="E14" s="133" t="s">
        <v>120</v>
      </c>
      <c r="F14" s="136"/>
    </row>
    <row r="15" spans="1:10" s="86" customFormat="1" ht="15" thickBot="1" x14ac:dyDescent="0.25">
      <c r="A15" s="36" t="s">
        <v>27</v>
      </c>
      <c r="B15" s="36"/>
      <c r="C15" s="36"/>
      <c r="D15" s="37"/>
      <c r="E15" s="37"/>
      <c r="F15" s="35"/>
      <c r="J15" s="137"/>
    </row>
    <row r="16" spans="1:10" s="86" customFormat="1" ht="15" thickBot="1" x14ac:dyDescent="0.25">
      <c r="A16" s="36" t="s">
        <v>113</v>
      </c>
      <c r="B16" s="36"/>
      <c r="C16" s="36"/>
      <c r="D16" s="37"/>
      <c r="E16" s="37"/>
      <c r="F16" s="35"/>
      <c r="J16" s="137"/>
    </row>
    <row r="17" spans="1:10" ht="15" thickBot="1" x14ac:dyDescent="0.25">
      <c r="A17" s="36" t="s">
        <v>111</v>
      </c>
      <c r="B17" s="36"/>
      <c r="C17" s="36"/>
      <c r="D17" s="37"/>
      <c r="E17" s="37"/>
      <c r="F17" s="35"/>
    </row>
    <row r="18" spans="1:10" ht="15" thickBot="1" x14ac:dyDescent="0.25">
      <c r="A18" s="36" t="s">
        <v>104</v>
      </c>
      <c r="B18" s="36"/>
      <c r="C18" s="36"/>
      <c r="D18" s="37"/>
      <c r="E18" s="37"/>
      <c r="F18" s="35"/>
    </row>
    <row r="19" spans="1:10" s="86" customFormat="1" ht="15" thickBot="1" x14ac:dyDescent="0.25">
      <c r="A19" s="36" t="s">
        <v>112</v>
      </c>
      <c r="B19" s="36"/>
      <c r="C19" s="36"/>
      <c r="D19" s="37"/>
      <c r="E19" s="37"/>
      <c r="F19" s="35"/>
      <c r="J19" s="137"/>
    </row>
    <row r="20" spans="1:10" x14ac:dyDescent="0.2">
      <c r="A20" s="107" t="s">
        <v>103</v>
      </c>
      <c r="B20" s="108"/>
      <c r="C20" s="108"/>
      <c r="D20" s="108"/>
      <c r="E20" s="108"/>
      <c r="F20" s="109"/>
    </row>
    <row r="21" spans="1:10" s="86" customFormat="1" ht="15" thickBot="1" x14ac:dyDescent="0.25">
      <c r="A21" s="110"/>
      <c r="B21" s="111"/>
      <c r="C21" s="111"/>
      <c r="D21" s="111"/>
      <c r="E21" s="111"/>
      <c r="F21" s="112"/>
      <c r="J21" s="137"/>
    </row>
    <row r="22" spans="1:10" ht="15" thickBot="1" x14ac:dyDescent="0.25">
      <c r="A22" s="36"/>
      <c r="B22" s="36"/>
      <c r="C22" s="36"/>
      <c r="D22" s="21"/>
      <c r="E22" s="21"/>
      <c r="F22" s="21"/>
    </row>
    <row r="23" spans="1:10" ht="15" thickBot="1" x14ac:dyDescent="0.25">
      <c r="A23" s="21"/>
      <c r="B23" s="21"/>
      <c r="C23" s="21"/>
      <c r="D23" s="21"/>
      <c r="E23" s="21"/>
      <c r="F23" s="21"/>
    </row>
    <row r="33" spans="6:7" x14ac:dyDescent="0.2">
      <c r="F33" s="86"/>
      <c r="G33" s="86"/>
    </row>
    <row r="34" spans="6:7" x14ac:dyDescent="0.2">
      <c r="F34" s="86"/>
      <c r="G34" s="86"/>
    </row>
    <row r="35" spans="6:7" x14ac:dyDescent="0.2">
      <c r="F35" s="86"/>
      <c r="G35" s="86"/>
    </row>
    <row r="36" spans="6:7" x14ac:dyDescent="0.2">
      <c r="F36" s="86"/>
      <c r="G36" s="86"/>
    </row>
    <row r="37" spans="6:7" x14ac:dyDescent="0.2">
      <c r="F37" s="86"/>
      <c r="G37" s="86"/>
    </row>
    <row r="38" spans="6:7" x14ac:dyDescent="0.2">
      <c r="F38" s="86"/>
      <c r="G38" s="86"/>
    </row>
  </sheetData>
  <mergeCells count="1">
    <mergeCell ref="A20:F2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
  <sheetViews>
    <sheetView rightToLeft="1" workbookViewId="0">
      <selection activeCell="B12" sqref="B12"/>
    </sheetView>
  </sheetViews>
  <sheetFormatPr defaultColWidth="9" defaultRowHeight="14.25" x14ac:dyDescent="0.2"/>
  <cols>
    <col min="1" max="1" width="26.875" customWidth="1"/>
    <col min="2" max="2" width="12.375" bestFit="1" customWidth="1"/>
    <col min="3" max="3" width="13.25" style="86" customWidth="1"/>
    <col min="5" max="5" width="13.5" style="86" customWidth="1"/>
    <col min="6" max="6" width="57" bestFit="1" customWidth="1"/>
  </cols>
  <sheetData>
    <row r="1" spans="1:6" ht="15" thickBot="1" x14ac:dyDescent="0.25">
      <c r="A1" s="21"/>
      <c r="B1" s="21"/>
      <c r="C1" s="21"/>
      <c r="D1" s="21"/>
      <c r="E1" s="21"/>
      <c r="F1" s="21"/>
    </row>
    <row r="2" spans="1:6" ht="15" thickBot="1" x14ac:dyDescent="0.25">
      <c r="A2" s="21"/>
      <c r="B2" s="21"/>
      <c r="C2" s="21"/>
      <c r="D2" s="21"/>
      <c r="E2" s="21"/>
      <c r="F2" s="21"/>
    </row>
    <row r="3" spans="1:6" ht="15" thickBot="1" x14ac:dyDescent="0.25">
      <c r="A3" s="21"/>
      <c r="B3" s="21"/>
      <c r="C3" s="21"/>
      <c r="D3" s="21"/>
      <c r="E3" s="21"/>
      <c r="F3" s="21"/>
    </row>
    <row r="4" spans="1:6" ht="15" thickBot="1" x14ac:dyDescent="0.25">
      <c r="A4" s="21"/>
      <c r="B4" s="21"/>
      <c r="C4" s="21"/>
      <c r="D4" s="21"/>
      <c r="E4" s="21"/>
      <c r="F4" s="21"/>
    </row>
    <row r="5" spans="1:6" ht="16.5" thickBot="1" x14ac:dyDescent="0.3">
      <c r="A5" s="22" t="s">
        <v>65</v>
      </c>
      <c r="B5" s="21"/>
      <c r="C5" s="21"/>
      <c r="D5" s="21"/>
      <c r="E5" s="21"/>
      <c r="F5" s="21"/>
    </row>
    <row r="6" spans="1:6" ht="15" thickBot="1" x14ac:dyDescent="0.25">
      <c r="A6" s="21"/>
      <c r="B6" s="21"/>
      <c r="C6" s="21"/>
      <c r="D6" s="21"/>
      <c r="E6" s="21"/>
      <c r="F6" s="21"/>
    </row>
    <row r="7" spans="1:6" ht="45.75" thickBot="1" x14ac:dyDescent="0.25">
      <c r="A7" s="23" t="s">
        <v>16</v>
      </c>
      <c r="B7" s="25" t="s">
        <v>119</v>
      </c>
      <c r="C7" s="25" t="s">
        <v>116</v>
      </c>
      <c r="D7" s="23" t="s">
        <v>17</v>
      </c>
      <c r="E7" s="24" t="s">
        <v>117</v>
      </c>
      <c r="F7" s="23" t="s">
        <v>18</v>
      </c>
    </row>
    <row r="8" spans="1:6" ht="15.75" customHeight="1" thickBot="1" x14ac:dyDescent="0.25">
      <c r="A8" s="26" t="s">
        <v>19</v>
      </c>
      <c r="B8" s="102">
        <v>0.36109999999999998</v>
      </c>
      <c r="C8" s="102">
        <v>0.35</v>
      </c>
      <c r="D8" s="102">
        <v>0.06</v>
      </c>
      <c r="E8" s="102" t="s">
        <v>59</v>
      </c>
      <c r="F8" s="134" t="s">
        <v>97</v>
      </c>
    </row>
    <row r="9" spans="1:6" ht="15" thickBot="1" x14ac:dyDescent="0.25">
      <c r="A9" s="26" t="s">
        <v>20</v>
      </c>
      <c r="B9" s="102">
        <v>0.22459999999999999</v>
      </c>
      <c r="C9" s="102">
        <v>0.25</v>
      </c>
      <c r="D9" s="102">
        <v>0.05</v>
      </c>
      <c r="E9" s="102" t="s">
        <v>93</v>
      </c>
      <c r="F9" s="134" t="s">
        <v>21</v>
      </c>
    </row>
    <row r="10" spans="1:6" ht="15" thickBot="1" x14ac:dyDescent="0.25">
      <c r="A10" s="26" t="s">
        <v>114</v>
      </c>
      <c r="B10" s="102">
        <v>0.37440000000000001</v>
      </c>
      <c r="C10" s="102">
        <v>0.34</v>
      </c>
      <c r="D10" s="102">
        <v>0.06</v>
      </c>
      <c r="E10" s="102" t="s">
        <v>67</v>
      </c>
      <c r="F10" s="135" t="s">
        <v>54</v>
      </c>
    </row>
    <row r="11" spans="1:6" ht="15" thickBot="1" x14ac:dyDescent="0.25">
      <c r="A11" s="26" t="s">
        <v>110</v>
      </c>
      <c r="B11" s="102">
        <f>5.52%-1.93%</f>
        <v>3.5900000000000001E-2</v>
      </c>
      <c r="C11" s="102">
        <v>0.04</v>
      </c>
      <c r="D11" s="102"/>
      <c r="E11" s="102"/>
      <c r="F11" s="136"/>
    </row>
    <row r="12" spans="1:6" ht="15" thickBot="1" x14ac:dyDescent="0.25">
      <c r="A12" s="138" t="s">
        <v>101</v>
      </c>
      <c r="B12" s="102">
        <v>4.0000000000000001E-3</v>
      </c>
      <c r="C12" s="102">
        <v>0.02</v>
      </c>
      <c r="D12" s="102">
        <v>0.05</v>
      </c>
      <c r="E12" s="102" t="s">
        <v>55</v>
      </c>
      <c r="F12" s="136"/>
    </row>
    <row r="13" spans="1:6" ht="15" thickBot="1" x14ac:dyDescent="0.25">
      <c r="A13" s="26" t="s">
        <v>25</v>
      </c>
      <c r="B13" s="102">
        <f>SUM(B8:B12)</f>
        <v>1</v>
      </c>
      <c r="C13" s="102">
        <v>1.0000000000000002</v>
      </c>
      <c r="D13" s="102"/>
      <c r="E13" s="102"/>
      <c r="F13" s="136"/>
    </row>
    <row r="14" spans="1:6" ht="15" thickBot="1" x14ac:dyDescent="0.25">
      <c r="A14" s="139" t="s">
        <v>102</v>
      </c>
      <c r="B14" s="102">
        <v>0.19470000000000001</v>
      </c>
      <c r="C14" s="102">
        <v>0.2</v>
      </c>
      <c r="D14" s="102">
        <v>0.06</v>
      </c>
      <c r="E14" s="102" t="s">
        <v>118</v>
      </c>
      <c r="F14" s="136"/>
    </row>
    <row r="15" spans="1:6" s="86" customFormat="1" ht="15" thickBot="1" x14ac:dyDescent="0.25">
      <c r="A15" s="36" t="s">
        <v>27</v>
      </c>
      <c r="B15" s="37"/>
      <c r="C15" s="37"/>
      <c r="D15" s="35"/>
      <c r="E15" s="35"/>
      <c r="F15" s="35"/>
    </row>
    <row r="16" spans="1:6" s="86" customFormat="1" ht="15" thickBot="1" x14ac:dyDescent="0.25">
      <c r="A16" s="36" t="s">
        <v>113</v>
      </c>
      <c r="B16" s="36"/>
      <c r="C16" s="36"/>
      <c r="D16" s="37"/>
      <c r="E16" s="37"/>
      <c r="F16" s="35"/>
    </row>
    <row r="17" spans="1:6" ht="15" thickBot="1" x14ac:dyDescent="0.25">
      <c r="A17" s="36" t="s">
        <v>111</v>
      </c>
      <c r="B17" s="36"/>
      <c r="C17" s="36"/>
      <c r="D17" s="37"/>
      <c r="E17" s="37"/>
      <c r="F17" s="35"/>
    </row>
    <row r="18" spans="1:6" ht="15" thickBot="1" x14ac:dyDescent="0.25">
      <c r="A18" s="36" t="s">
        <v>104</v>
      </c>
      <c r="B18" s="36"/>
      <c r="C18" s="36"/>
      <c r="D18" s="37"/>
      <c r="E18" s="37"/>
      <c r="F18" s="35"/>
    </row>
    <row r="19" spans="1:6" s="86" customFormat="1" ht="15" thickBot="1" x14ac:dyDescent="0.25">
      <c r="A19" s="36" t="s">
        <v>112</v>
      </c>
      <c r="B19" s="36"/>
      <c r="C19" s="36"/>
      <c r="D19" s="37"/>
      <c r="E19" s="37"/>
      <c r="F19" s="35"/>
    </row>
    <row r="20" spans="1:6" x14ac:dyDescent="0.2">
      <c r="A20" s="107" t="s">
        <v>103</v>
      </c>
      <c r="B20" s="108"/>
      <c r="C20" s="108"/>
      <c r="D20" s="108"/>
      <c r="E20" s="108"/>
      <c r="F20" s="109"/>
    </row>
    <row r="21" spans="1:6" s="86" customFormat="1" ht="15" thickBot="1" x14ac:dyDescent="0.25">
      <c r="A21" s="110"/>
      <c r="B21" s="111"/>
      <c r="C21" s="111"/>
      <c r="D21" s="111"/>
      <c r="E21" s="111"/>
      <c r="F21" s="112"/>
    </row>
    <row r="22" spans="1:6" ht="15" thickBot="1" x14ac:dyDescent="0.25">
      <c r="A22" s="36"/>
      <c r="B22" s="21"/>
      <c r="C22" s="21"/>
      <c r="D22" s="21"/>
      <c r="E22" s="21"/>
      <c r="F22" s="21"/>
    </row>
    <row r="23" spans="1:6" ht="15" thickBot="1" x14ac:dyDescent="0.25">
      <c r="A23" s="21"/>
      <c r="B23" s="21"/>
      <c r="C23" s="21"/>
      <c r="D23" s="21"/>
      <c r="E23" s="21"/>
      <c r="F23" s="21"/>
    </row>
    <row r="28" spans="1:6" x14ac:dyDescent="0.2">
      <c r="D28" s="86"/>
    </row>
    <row r="30" spans="1:6" x14ac:dyDescent="0.2">
      <c r="D30" s="86"/>
      <c r="F30" s="86"/>
    </row>
    <row r="34" spans="2:4" x14ac:dyDescent="0.2">
      <c r="D34" s="86"/>
    </row>
    <row r="35" spans="2:4" x14ac:dyDescent="0.2">
      <c r="B35" s="86"/>
      <c r="D35" s="86"/>
    </row>
    <row r="36" spans="2:4" x14ac:dyDescent="0.2">
      <c r="B36" s="86"/>
      <c r="D36" s="86"/>
    </row>
    <row r="37" spans="2:4" x14ac:dyDescent="0.2">
      <c r="B37" s="86"/>
      <c r="D37" s="86"/>
    </row>
  </sheetData>
  <mergeCells count="1">
    <mergeCell ref="A20:F21"/>
  </mergeCells>
  <pageMargins left="0.7" right="0.7" top="0.75" bottom="0.75" header="0.3" footer="0.3"/>
  <pageSetup paperSize="9" orientation="portrait"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rightToLeft="1" workbookViewId="0">
      <selection activeCell="E29" sqref="E29"/>
    </sheetView>
  </sheetViews>
  <sheetFormatPr defaultColWidth="9" defaultRowHeight="14.25" x14ac:dyDescent="0.2"/>
  <cols>
    <col min="1" max="1" width="26.875" customWidth="1"/>
    <col min="2" max="2" width="11.5" customWidth="1"/>
    <col min="3" max="3" width="13.25" style="86" customWidth="1"/>
    <col min="5" max="5" width="13.5" style="86" customWidth="1"/>
    <col min="6" max="6" width="57" bestFit="1" customWidth="1"/>
  </cols>
  <sheetData>
    <row r="1" spans="1:6" ht="15" thickBot="1" x14ac:dyDescent="0.25">
      <c r="A1" s="21"/>
      <c r="B1" s="21"/>
      <c r="C1" s="21"/>
      <c r="D1" s="21"/>
      <c r="E1" s="21"/>
      <c r="F1" s="21"/>
    </row>
    <row r="2" spans="1:6" ht="15" thickBot="1" x14ac:dyDescent="0.25">
      <c r="A2" s="21"/>
      <c r="B2" s="21"/>
      <c r="C2" s="21"/>
      <c r="D2" s="21"/>
      <c r="E2" s="21"/>
      <c r="F2" s="21"/>
    </row>
    <row r="3" spans="1:6" ht="15" thickBot="1" x14ac:dyDescent="0.25">
      <c r="A3" s="21"/>
      <c r="B3" s="21"/>
      <c r="C3" s="21"/>
      <c r="D3" s="21"/>
      <c r="E3" s="21"/>
      <c r="F3" s="21"/>
    </row>
    <row r="4" spans="1:6" ht="15" thickBot="1" x14ac:dyDescent="0.25">
      <c r="A4" s="21"/>
      <c r="B4" s="21"/>
      <c r="C4" s="21"/>
      <c r="D4" s="21"/>
      <c r="E4" s="21"/>
      <c r="F4" s="21"/>
    </row>
    <row r="5" spans="1:6" ht="16.5" thickBot="1" x14ac:dyDescent="0.3">
      <c r="A5" s="22" t="s">
        <v>66</v>
      </c>
      <c r="B5" s="21"/>
      <c r="C5" s="21"/>
      <c r="D5" s="21"/>
      <c r="E5" s="21"/>
      <c r="F5" s="21"/>
    </row>
    <row r="6" spans="1:6" ht="15" thickBot="1" x14ac:dyDescent="0.25">
      <c r="A6" s="21"/>
      <c r="B6" s="21"/>
      <c r="C6" s="21"/>
      <c r="D6" s="21"/>
      <c r="E6" s="21"/>
      <c r="F6" s="21"/>
    </row>
    <row r="7" spans="1:6" ht="45.75" thickBot="1" x14ac:dyDescent="0.25">
      <c r="A7" s="23" t="s">
        <v>16</v>
      </c>
      <c r="B7" s="25" t="s">
        <v>119</v>
      </c>
      <c r="C7" s="25" t="s">
        <v>116</v>
      </c>
      <c r="D7" s="23" t="s">
        <v>17</v>
      </c>
      <c r="E7" s="24" t="s">
        <v>117</v>
      </c>
      <c r="F7" s="23" t="s">
        <v>18</v>
      </c>
    </row>
    <row r="8" spans="1:6" ht="15.75" customHeight="1" thickBot="1" x14ac:dyDescent="0.25">
      <c r="A8" s="26" t="s">
        <v>115</v>
      </c>
      <c r="B8" s="100">
        <v>8.5099999999999995E-2</v>
      </c>
      <c r="C8" s="100">
        <v>0.08</v>
      </c>
      <c r="D8" s="100">
        <v>0.06</v>
      </c>
      <c r="E8" s="100" t="s">
        <v>56</v>
      </c>
      <c r="F8" s="30" t="s">
        <v>98</v>
      </c>
    </row>
    <row r="9" spans="1:6" ht="15" thickBot="1" x14ac:dyDescent="0.25">
      <c r="A9" s="26" t="s">
        <v>20</v>
      </c>
      <c r="B9" s="100">
        <v>0.47899999999999998</v>
      </c>
      <c r="C9" s="100">
        <v>0.5</v>
      </c>
      <c r="D9" s="100">
        <v>0.05</v>
      </c>
      <c r="E9" s="100" t="s">
        <v>57</v>
      </c>
      <c r="F9" s="30" t="s">
        <v>58</v>
      </c>
    </row>
    <row r="10" spans="1:6" ht="15" thickBot="1" x14ac:dyDescent="0.25">
      <c r="A10" s="26" t="s">
        <v>114</v>
      </c>
      <c r="B10" s="100">
        <v>0.3322</v>
      </c>
      <c r="C10" s="100">
        <v>0.35</v>
      </c>
      <c r="D10" s="100">
        <v>0.06</v>
      </c>
      <c r="E10" s="100" t="s">
        <v>59</v>
      </c>
      <c r="F10" s="31" t="s">
        <v>60</v>
      </c>
    </row>
    <row r="11" spans="1:6" ht="15" thickBot="1" x14ac:dyDescent="0.25">
      <c r="A11" s="26" t="s">
        <v>105</v>
      </c>
      <c r="B11" s="100">
        <v>0.1037</v>
      </c>
      <c r="C11" s="100">
        <v>0.05</v>
      </c>
      <c r="D11" s="100"/>
      <c r="E11" s="100"/>
      <c r="F11" s="32"/>
    </row>
    <row r="12" spans="1:6" ht="15" thickBot="1" x14ac:dyDescent="0.25">
      <c r="A12" s="33" t="s">
        <v>106</v>
      </c>
      <c r="B12" s="100">
        <v>0</v>
      </c>
      <c r="C12" s="100">
        <v>0.02</v>
      </c>
      <c r="D12" s="100">
        <v>0.05</v>
      </c>
      <c r="E12" s="100" t="s">
        <v>55</v>
      </c>
      <c r="F12" s="32"/>
    </row>
    <row r="13" spans="1:6" ht="15" thickBot="1" x14ac:dyDescent="0.25">
      <c r="A13" s="26" t="s">
        <v>25</v>
      </c>
      <c r="B13" s="100">
        <f>SUM(B8:B12)</f>
        <v>0.99999999999999989</v>
      </c>
      <c r="C13" s="100">
        <f>SUM(C8:C12)</f>
        <v>1</v>
      </c>
      <c r="D13" s="100"/>
      <c r="E13" s="100"/>
      <c r="F13" s="32"/>
    </row>
    <row r="14" spans="1:6" ht="15" thickBot="1" x14ac:dyDescent="0.25">
      <c r="A14" s="34" t="s">
        <v>107</v>
      </c>
      <c r="B14" s="100">
        <v>8.3699999999999997E-2</v>
      </c>
      <c r="C14" s="100">
        <v>0.08</v>
      </c>
      <c r="D14" s="100">
        <v>0.06</v>
      </c>
      <c r="E14" s="100" t="s">
        <v>61</v>
      </c>
      <c r="F14" s="32"/>
    </row>
    <row r="15" spans="1:6" s="86" customFormat="1" ht="15" thickBot="1" x14ac:dyDescent="0.25">
      <c r="A15" s="36" t="s">
        <v>27</v>
      </c>
      <c r="B15" s="37"/>
      <c r="C15" s="37"/>
      <c r="D15" s="35"/>
      <c r="E15" s="35"/>
      <c r="F15" s="35"/>
    </row>
    <row r="16" spans="1:6" ht="15" thickBot="1" x14ac:dyDescent="0.25">
      <c r="A16" s="36" t="s">
        <v>108</v>
      </c>
      <c r="B16" s="37"/>
      <c r="C16" s="37"/>
      <c r="D16" s="35"/>
      <c r="E16" s="35"/>
      <c r="F16" s="35"/>
    </row>
    <row r="17" spans="1:8" ht="15" thickBot="1" x14ac:dyDescent="0.25">
      <c r="A17" s="36" t="s">
        <v>104</v>
      </c>
      <c r="B17" s="37"/>
      <c r="C17" s="37"/>
      <c r="D17" s="35"/>
      <c r="E17" s="35"/>
      <c r="F17" s="35"/>
    </row>
    <row r="18" spans="1:8" s="86" customFormat="1" ht="15" thickBot="1" x14ac:dyDescent="0.25">
      <c r="A18" s="36" t="s">
        <v>109</v>
      </c>
      <c r="B18" s="37"/>
      <c r="C18" s="37"/>
      <c r="D18" s="35"/>
      <c r="E18" s="35"/>
      <c r="F18" s="35"/>
    </row>
    <row r="19" spans="1:8" x14ac:dyDescent="0.2">
      <c r="A19" s="107" t="s">
        <v>103</v>
      </c>
      <c r="B19" s="108"/>
      <c r="C19" s="108"/>
      <c r="D19" s="108"/>
      <c r="E19" s="108"/>
      <c r="F19" s="109"/>
    </row>
    <row r="20" spans="1:8" s="86" customFormat="1" ht="15" thickBot="1" x14ac:dyDescent="0.25">
      <c r="A20" s="110"/>
      <c r="B20" s="111"/>
      <c r="C20" s="111"/>
      <c r="D20" s="111"/>
      <c r="E20" s="111"/>
      <c r="F20" s="112"/>
    </row>
    <row r="21" spans="1:8" ht="15" thickBot="1" x14ac:dyDescent="0.25">
      <c r="A21" s="36"/>
      <c r="B21" s="21"/>
      <c r="C21" s="21"/>
      <c r="D21" s="21"/>
      <c r="E21" s="21"/>
      <c r="F21" s="21"/>
    </row>
    <row r="22" spans="1:8" ht="15" thickBot="1" x14ac:dyDescent="0.25">
      <c r="A22" s="21"/>
      <c r="B22" s="21"/>
      <c r="C22" s="21"/>
      <c r="D22" s="21"/>
      <c r="E22" s="21"/>
      <c r="F22" s="21"/>
    </row>
    <row r="24" spans="1:8" ht="16.5" customHeight="1" x14ac:dyDescent="0.2"/>
    <row r="31" spans="1:8" x14ac:dyDescent="0.2">
      <c r="D31" s="86"/>
      <c r="F31" s="86"/>
      <c r="G31" s="86"/>
      <c r="H31" s="86"/>
    </row>
    <row r="32" spans="1:8" x14ac:dyDescent="0.2">
      <c r="D32" s="86"/>
      <c r="F32" s="86"/>
      <c r="G32" s="86"/>
      <c r="H32" s="86"/>
    </row>
  </sheetData>
  <mergeCells count="1">
    <mergeCell ref="A19:F20"/>
  </mergeCells>
  <pageMargins left="0.7" right="0.7" top="0.75" bottom="0.75" header="0.3" footer="0.3"/>
  <pageSetup paperSize="9" orientation="portrait"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rightToLeft="1" workbookViewId="0">
      <selection activeCell="A29" sqref="A29"/>
    </sheetView>
  </sheetViews>
  <sheetFormatPr defaultColWidth="9" defaultRowHeight="14.25" x14ac:dyDescent="0.2"/>
  <cols>
    <col min="1" max="1" width="44.5" bestFit="1" customWidth="1"/>
    <col min="2" max="2" width="11.375" bestFit="1" customWidth="1"/>
    <col min="3" max="3" width="8" style="86" customWidth="1"/>
    <col min="5" max="5" width="13" style="86" customWidth="1"/>
    <col min="6" max="6" width="57.25" bestFit="1" customWidth="1"/>
  </cols>
  <sheetData>
    <row r="1" spans="1:10" ht="15" thickBot="1" x14ac:dyDescent="0.25">
      <c r="A1" s="21"/>
      <c r="B1" s="21"/>
      <c r="C1" s="21"/>
      <c r="D1" s="21"/>
      <c r="E1" s="21"/>
      <c r="F1" s="21"/>
    </row>
    <row r="2" spans="1:10" ht="15" thickBot="1" x14ac:dyDescent="0.25">
      <c r="A2" s="21"/>
      <c r="B2" s="21"/>
      <c r="C2" s="21"/>
      <c r="D2" s="21"/>
      <c r="E2" s="21"/>
      <c r="F2" s="21"/>
    </row>
    <row r="3" spans="1:10" ht="15" thickBot="1" x14ac:dyDescent="0.25">
      <c r="A3" s="21"/>
      <c r="B3" s="21"/>
      <c r="C3" s="21"/>
      <c r="D3" s="21"/>
      <c r="E3" s="21"/>
      <c r="F3" s="21"/>
    </row>
    <row r="4" spans="1:10" ht="15" thickBot="1" x14ac:dyDescent="0.25">
      <c r="A4" s="21"/>
      <c r="B4" s="21"/>
      <c r="C4" s="21"/>
      <c r="D4" s="21"/>
      <c r="E4" s="21"/>
      <c r="F4" s="21"/>
    </row>
    <row r="5" spans="1:10" ht="15.75" thickBot="1" x14ac:dyDescent="0.3">
      <c r="A5" s="75" t="s">
        <v>72</v>
      </c>
      <c r="B5" s="21"/>
      <c r="C5" s="21"/>
      <c r="D5" s="21"/>
      <c r="E5" s="21"/>
      <c r="F5" s="21"/>
    </row>
    <row r="6" spans="1:10" ht="15" thickBot="1" x14ac:dyDescent="0.25">
      <c r="A6" s="21"/>
      <c r="B6" s="21"/>
      <c r="C6" s="21"/>
      <c r="D6" s="21"/>
      <c r="E6" s="21"/>
      <c r="F6" s="21"/>
    </row>
    <row r="7" spans="1:10" ht="60.75" thickBot="1" x14ac:dyDescent="0.25">
      <c r="A7" s="23" t="s">
        <v>16</v>
      </c>
      <c r="B7" s="25" t="s">
        <v>119</v>
      </c>
      <c r="C7" s="25" t="s">
        <v>116</v>
      </c>
      <c r="D7" s="23" t="s">
        <v>17</v>
      </c>
      <c r="E7" s="24" t="s">
        <v>117</v>
      </c>
      <c r="F7" s="23" t="s">
        <v>18</v>
      </c>
    </row>
    <row r="8" spans="1:10" ht="15" thickBot="1" x14ac:dyDescent="0.25">
      <c r="A8" s="26" t="s">
        <v>123</v>
      </c>
      <c r="B8" s="101">
        <v>0.3533</v>
      </c>
      <c r="C8" s="101">
        <v>0.35</v>
      </c>
      <c r="D8" s="101">
        <v>0.06</v>
      </c>
      <c r="E8" s="101" t="s">
        <v>59</v>
      </c>
      <c r="F8" s="30" t="s">
        <v>98</v>
      </c>
    </row>
    <row r="9" spans="1:10" ht="15" thickBot="1" x14ac:dyDescent="0.25">
      <c r="A9" s="26" t="s">
        <v>20</v>
      </c>
      <c r="B9" s="101">
        <v>0.24970000000000001</v>
      </c>
      <c r="C9" s="101">
        <v>0.25</v>
      </c>
      <c r="D9" s="101">
        <v>0.05</v>
      </c>
      <c r="E9" s="101" t="s">
        <v>93</v>
      </c>
      <c r="F9" s="30" t="s">
        <v>21</v>
      </c>
    </row>
    <row r="10" spans="1:10" ht="15" thickBot="1" x14ac:dyDescent="0.25">
      <c r="A10" s="26" t="s">
        <v>114</v>
      </c>
      <c r="B10" s="101">
        <v>0.30459999999999998</v>
      </c>
      <c r="C10" s="101">
        <v>0.34</v>
      </c>
      <c r="D10" s="101">
        <v>0.06</v>
      </c>
      <c r="E10" s="101" t="s">
        <v>67</v>
      </c>
      <c r="F10" s="31" t="s">
        <v>23</v>
      </c>
    </row>
    <row r="11" spans="1:10" ht="15" thickBot="1" x14ac:dyDescent="0.25">
      <c r="A11" s="26" t="s">
        <v>110</v>
      </c>
      <c r="B11" s="101">
        <v>9.2399999999999982E-2</v>
      </c>
      <c r="C11" s="101">
        <v>0.04</v>
      </c>
      <c r="D11" s="101"/>
      <c r="E11" s="101"/>
      <c r="F11" s="32"/>
    </row>
    <row r="12" spans="1:10" ht="15" thickBot="1" x14ac:dyDescent="0.25">
      <c r="A12" s="33" t="s">
        <v>101</v>
      </c>
      <c r="B12" s="101">
        <v>0</v>
      </c>
      <c r="C12" s="101">
        <v>0.02</v>
      </c>
      <c r="D12" s="101">
        <v>0.05</v>
      </c>
      <c r="E12" s="101" t="s">
        <v>55</v>
      </c>
      <c r="F12" s="32"/>
    </row>
    <row r="13" spans="1:10" ht="15" thickBot="1" x14ac:dyDescent="0.25">
      <c r="A13" s="26" t="s">
        <v>25</v>
      </c>
      <c r="B13" s="101">
        <f>SUM(B8:B12)</f>
        <v>1</v>
      </c>
      <c r="C13" s="101">
        <f>SUM(C8:C12)</f>
        <v>1</v>
      </c>
      <c r="D13" s="101"/>
      <c r="E13" s="101"/>
      <c r="F13" s="32"/>
      <c r="J13" s="137"/>
    </row>
    <row r="14" spans="1:10" ht="15" thickBot="1" x14ac:dyDescent="0.25">
      <c r="A14" s="34" t="s">
        <v>102</v>
      </c>
      <c r="B14" s="101">
        <v>0.18049999999999999</v>
      </c>
      <c r="C14" s="101">
        <v>0.2</v>
      </c>
      <c r="D14" s="101">
        <v>0.06</v>
      </c>
      <c r="E14" s="101" t="s">
        <v>118</v>
      </c>
      <c r="F14" s="32"/>
    </row>
    <row r="15" spans="1:10" s="86" customFormat="1" ht="15" thickBot="1" x14ac:dyDescent="0.25">
      <c r="A15" s="36" t="s">
        <v>27</v>
      </c>
      <c r="B15" s="37"/>
      <c r="C15" s="37"/>
      <c r="D15" s="35"/>
      <c r="E15" s="35"/>
      <c r="F15" s="35"/>
    </row>
    <row r="16" spans="1:10" s="86" customFormat="1" ht="15" thickBot="1" x14ac:dyDescent="0.25">
      <c r="A16" s="36" t="s">
        <v>113</v>
      </c>
      <c r="B16" s="37"/>
      <c r="C16" s="37"/>
      <c r="D16" s="35"/>
      <c r="E16" s="35"/>
      <c r="F16" s="35"/>
    </row>
    <row r="17" spans="1:6" ht="15" thickBot="1" x14ac:dyDescent="0.25">
      <c r="A17" s="36" t="s">
        <v>111</v>
      </c>
      <c r="B17" s="37"/>
      <c r="C17" s="37"/>
      <c r="D17" s="35"/>
      <c r="E17" s="35"/>
      <c r="F17" s="35"/>
    </row>
    <row r="18" spans="1:6" ht="15" thickBot="1" x14ac:dyDescent="0.25">
      <c r="A18" s="36" t="s">
        <v>104</v>
      </c>
      <c r="B18" s="37"/>
      <c r="C18" s="37"/>
      <c r="D18" s="35"/>
      <c r="E18" s="35"/>
      <c r="F18" s="35"/>
    </row>
    <row r="19" spans="1:6" s="86" customFormat="1" ht="15" thickBot="1" x14ac:dyDescent="0.25">
      <c r="A19" s="36" t="s">
        <v>112</v>
      </c>
      <c r="B19" s="37"/>
      <c r="C19" s="37"/>
      <c r="D19" s="35"/>
      <c r="E19" s="35"/>
      <c r="F19" s="35"/>
    </row>
    <row r="20" spans="1:6" x14ac:dyDescent="0.2">
      <c r="A20" s="107" t="s">
        <v>103</v>
      </c>
      <c r="B20" s="108"/>
      <c r="C20" s="108"/>
      <c r="D20" s="108"/>
      <c r="E20" s="108"/>
      <c r="F20" s="109"/>
    </row>
    <row r="21" spans="1:6" s="86" customFormat="1" ht="15" thickBot="1" x14ac:dyDescent="0.25">
      <c r="A21" s="110"/>
      <c r="B21" s="111"/>
      <c r="C21" s="111"/>
      <c r="D21" s="111"/>
      <c r="E21" s="111"/>
      <c r="F21" s="112"/>
    </row>
    <row r="22" spans="1:6" ht="15" thickBot="1" x14ac:dyDescent="0.25">
      <c r="A22" s="36"/>
      <c r="B22" s="21"/>
      <c r="C22" s="21"/>
      <c r="D22" s="21"/>
      <c r="E22" s="21"/>
      <c r="F22" s="21"/>
    </row>
    <row r="23" spans="1:6" ht="15" thickBot="1" x14ac:dyDescent="0.25">
      <c r="A23" s="21"/>
      <c r="B23" s="21"/>
      <c r="C23" s="21"/>
      <c r="D23" s="21"/>
      <c r="E23" s="21"/>
      <c r="F23" s="21"/>
    </row>
    <row r="31" spans="1:6" x14ac:dyDescent="0.2">
      <c r="A31" s="86"/>
      <c r="B31" s="86"/>
    </row>
    <row r="32" spans="1:6" x14ac:dyDescent="0.2">
      <c r="A32" s="86"/>
      <c r="B32" s="86"/>
    </row>
  </sheetData>
  <mergeCells count="1">
    <mergeCell ref="A20:F21"/>
  </mergeCells>
  <pageMargins left="0.7" right="0.7"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
  <sheetViews>
    <sheetView rightToLeft="1" workbookViewId="0">
      <selection activeCell="C7" sqref="C7"/>
    </sheetView>
  </sheetViews>
  <sheetFormatPr defaultColWidth="9" defaultRowHeight="14.25" x14ac:dyDescent="0.2"/>
  <cols>
    <col min="1" max="1" width="44.5" bestFit="1" customWidth="1"/>
    <col min="2" max="2" width="10.375" bestFit="1" customWidth="1"/>
    <col min="3" max="3" width="8" style="86" customWidth="1"/>
    <col min="5" max="5" width="7.875" style="86" customWidth="1"/>
    <col min="6" max="6" width="57.25" bestFit="1" customWidth="1"/>
  </cols>
  <sheetData>
    <row r="1" spans="1:6" ht="15" thickBot="1" x14ac:dyDescent="0.25">
      <c r="A1" s="21"/>
      <c r="B1" s="21"/>
      <c r="C1" s="21"/>
      <c r="D1" s="21"/>
      <c r="E1" s="21"/>
      <c r="F1" s="21"/>
    </row>
    <row r="2" spans="1:6" ht="15" thickBot="1" x14ac:dyDescent="0.25">
      <c r="A2" s="21"/>
      <c r="B2" s="21"/>
      <c r="C2" s="21"/>
      <c r="D2" s="21"/>
      <c r="E2" s="21"/>
      <c r="F2" s="21"/>
    </row>
    <row r="3" spans="1:6" ht="15" thickBot="1" x14ac:dyDescent="0.25">
      <c r="A3" s="21"/>
      <c r="B3" s="21"/>
      <c r="C3" s="21"/>
      <c r="D3" s="21"/>
      <c r="E3" s="21"/>
      <c r="F3" s="21"/>
    </row>
    <row r="4" spans="1:6" ht="15" thickBot="1" x14ac:dyDescent="0.25">
      <c r="A4" s="21"/>
      <c r="B4" s="21"/>
      <c r="C4" s="21"/>
      <c r="D4" s="21"/>
      <c r="E4" s="21"/>
      <c r="F4" s="21"/>
    </row>
    <row r="5" spans="1:6" ht="15.75" thickBot="1" x14ac:dyDescent="0.3">
      <c r="A5" s="75" t="s">
        <v>73</v>
      </c>
      <c r="B5" s="21"/>
      <c r="C5" s="21"/>
      <c r="D5" s="21"/>
      <c r="E5" s="21"/>
      <c r="F5" s="21"/>
    </row>
    <row r="6" spans="1:6" ht="15" thickBot="1" x14ac:dyDescent="0.25">
      <c r="A6" s="21"/>
      <c r="B6" s="21"/>
      <c r="C6" s="21"/>
      <c r="D6" s="21"/>
      <c r="E6" s="21"/>
      <c r="F6" s="21"/>
    </row>
    <row r="7" spans="1:6" ht="75.75" thickBot="1" x14ac:dyDescent="0.25">
      <c r="A7" s="23" t="s">
        <v>16</v>
      </c>
      <c r="B7" s="25" t="s">
        <v>119</v>
      </c>
      <c r="C7" s="25" t="s">
        <v>116</v>
      </c>
      <c r="D7" s="23" t="s">
        <v>17</v>
      </c>
      <c r="E7" s="24" t="s">
        <v>117</v>
      </c>
      <c r="F7" s="23" t="s">
        <v>18</v>
      </c>
    </row>
    <row r="8" spans="1:6" ht="24.75" thickBot="1" x14ac:dyDescent="0.25">
      <c r="A8" s="26" t="s">
        <v>115</v>
      </c>
      <c r="B8" s="27">
        <v>0.33700000000000002</v>
      </c>
      <c r="C8" s="28">
        <v>0.33</v>
      </c>
      <c r="D8" s="28">
        <v>0.06</v>
      </c>
      <c r="E8" s="29" t="s">
        <v>68</v>
      </c>
      <c r="F8" s="30" t="s">
        <v>99</v>
      </c>
    </row>
    <row r="9" spans="1:6" ht="15" thickBot="1" x14ac:dyDescent="0.25">
      <c r="A9" s="26" t="s">
        <v>20</v>
      </c>
      <c r="B9" s="27">
        <v>0.27189999999999998</v>
      </c>
      <c r="C9" s="28">
        <v>0.3</v>
      </c>
      <c r="D9" s="28">
        <v>0.05</v>
      </c>
      <c r="E9" s="29" t="s">
        <v>69</v>
      </c>
      <c r="F9" s="30" t="s">
        <v>70</v>
      </c>
    </row>
    <row r="10" spans="1:6" ht="15" thickBot="1" x14ac:dyDescent="0.25">
      <c r="A10" s="26" t="s">
        <v>124</v>
      </c>
      <c r="B10" s="27">
        <v>0.29480000000000001</v>
      </c>
      <c r="C10" s="28">
        <v>0.3</v>
      </c>
      <c r="D10" s="28">
        <v>0.06</v>
      </c>
      <c r="E10" s="29" t="s">
        <v>22</v>
      </c>
      <c r="F10" s="31" t="s">
        <v>71</v>
      </c>
    </row>
    <row r="11" spans="1:6" ht="15" thickBot="1" x14ac:dyDescent="0.25">
      <c r="A11" s="26" t="s">
        <v>105</v>
      </c>
      <c r="B11" s="27">
        <v>9.6199999999999994E-2</v>
      </c>
      <c r="C11" s="28">
        <v>7.0000000000000007E-2</v>
      </c>
      <c r="D11" s="28"/>
      <c r="E11" s="29"/>
      <c r="F11" s="32"/>
    </row>
    <row r="12" spans="1:6" ht="15" thickBot="1" x14ac:dyDescent="0.25">
      <c r="A12" s="33" t="s">
        <v>106</v>
      </c>
      <c r="B12" s="27">
        <v>0</v>
      </c>
      <c r="C12" s="28">
        <v>0</v>
      </c>
      <c r="D12" s="28">
        <v>0.05</v>
      </c>
      <c r="E12" s="29" t="s">
        <v>24</v>
      </c>
      <c r="F12" s="32"/>
    </row>
    <row r="13" spans="1:6" ht="15" thickBot="1" x14ac:dyDescent="0.25">
      <c r="A13" s="26" t="s">
        <v>25</v>
      </c>
      <c r="B13" s="27">
        <f>SUM(B8:B12)</f>
        <v>0.9998999999999999</v>
      </c>
      <c r="C13" s="27">
        <v>1</v>
      </c>
      <c r="D13" s="28"/>
      <c r="E13" s="29"/>
      <c r="F13" s="32"/>
    </row>
    <row r="14" spans="1:6" ht="15" thickBot="1" x14ac:dyDescent="0.25">
      <c r="A14" s="34" t="s">
        <v>107</v>
      </c>
      <c r="B14" s="27">
        <v>0.1484</v>
      </c>
      <c r="C14" s="28">
        <v>0.15</v>
      </c>
      <c r="D14" s="28">
        <v>0.06</v>
      </c>
      <c r="E14" s="28" t="s">
        <v>26</v>
      </c>
      <c r="F14" s="32"/>
    </row>
    <row r="15" spans="1:6" s="86" customFormat="1" ht="15" thickBot="1" x14ac:dyDescent="0.25">
      <c r="A15" s="36" t="s">
        <v>27</v>
      </c>
      <c r="B15" s="37"/>
      <c r="C15" s="37"/>
      <c r="D15" s="35"/>
      <c r="E15" s="35"/>
      <c r="F15" s="35"/>
    </row>
    <row r="16" spans="1:6" ht="15" thickBot="1" x14ac:dyDescent="0.25">
      <c r="A16" s="36" t="s">
        <v>108</v>
      </c>
      <c r="B16" s="37"/>
      <c r="C16" s="37"/>
      <c r="D16" s="35"/>
      <c r="E16" s="35"/>
      <c r="F16" s="35"/>
    </row>
    <row r="17" spans="1:6" ht="15" thickBot="1" x14ac:dyDescent="0.25">
      <c r="A17" s="36" t="s">
        <v>104</v>
      </c>
      <c r="B17" s="37"/>
      <c r="C17" s="37"/>
      <c r="D17" s="35"/>
      <c r="E17" s="35"/>
      <c r="F17" s="35"/>
    </row>
    <row r="18" spans="1:6" s="86" customFormat="1" ht="15" thickBot="1" x14ac:dyDescent="0.25">
      <c r="A18" s="36" t="s">
        <v>109</v>
      </c>
      <c r="B18" s="37"/>
      <c r="C18" s="37"/>
      <c r="D18" s="35"/>
      <c r="E18" s="35"/>
      <c r="F18" s="35"/>
    </row>
    <row r="19" spans="1:6" x14ac:dyDescent="0.2">
      <c r="A19" s="107" t="s">
        <v>103</v>
      </c>
      <c r="B19" s="108"/>
      <c r="C19" s="108"/>
      <c r="D19" s="108"/>
      <c r="E19" s="108"/>
      <c r="F19" s="109"/>
    </row>
    <row r="20" spans="1:6" s="86" customFormat="1" ht="15" thickBot="1" x14ac:dyDescent="0.25">
      <c r="A20" s="110"/>
      <c r="B20" s="111"/>
      <c r="C20" s="111"/>
      <c r="D20" s="111"/>
      <c r="E20" s="111"/>
      <c r="F20" s="112"/>
    </row>
    <row r="21" spans="1:6" ht="15" thickBot="1" x14ac:dyDescent="0.25">
      <c r="A21" s="36"/>
      <c r="B21" s="21"/>
      <c r="C21" s="21"/>
      <c r="D21" s="21"/>
      <c r="E21" s="21"/>
      <c r="F21" s="21"/>
    </row>
    <row r="22" spans="1:6" ht="15" thickBot="1" x14ac:dyDescent="0.25">
      <c r="A22" s="21"/>
      <c r="B22" s="21"/>
      <c r="C22" s="21"/>
      <c r="D22" s="21"/>
      <c r="E22" s="21"/>
      <c r="F22" s="21"/>
    </row>
    <row r="34" spans="4:4" x14ac:dyDescent="0.2">
      <c r="D34" s="86"/>
    </row>
  </sheetData>
  <mergeCells count="1">
    <mergeCell ref="A19:F20"/>
  </mergeCells>
  <pageMargins left="0.7" right="0.7" top="0.75" bottom="0.75"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Y62"/>
  <sheetViews>
    <sheetView rightToLeft="1" workbookViewId="0">
      <selection activeCell="F21" sqref="F21"/>
    </sheetView>
  </sheetViews>
  <sheetFormatPr defaultColWidth="9" defaultRowHeight="14.25" x14ac:dyDescent="0.2"/>
  <cols>
    <col min="1" max="1" width="35.25" customWidth="1"/>
    <col min="2" max="2" width="63.875" customWidth="1"/>
    <col min="3" max="3" width="40.625" customWidth="1"/>
    <col min="4" max="4" width="14" customWidth="1"/>
    <col min="5" max="25" width="9" style="4" customWidth="1"/>
  </cols>
  <sheetData>
    <row r="1" spans="1:25" ht="15" thickBot="1" x14ac:dyDescent="0.25"/>
    <row r="2" spans="1:25" ht="16.5" customHeight="1" thickBot="1" x14ac:dyDescent="0.3">
      <c r="A2" s="1" t="s">
        <v>0</v>
      </c>
      <c r="B2" s="2" t="s">
        <v>125</v>
      </c>
      <c r="C2" s="2" t="s">
        <v>126</v>
      </c>
      <c r="D2" s="2"/>
    </row>
    <row r="3" spans="1:25" ht="15" customHeight="1" thickBot="1" x14ac:dyDescent="0.25">
      <c r="A3" s="51" t="s">
        <v>50</v>
      </c>
      <c r="B3" s="113" t="s">
        <v>14</v>
      </c>
      <c r="C3" s="59" t="s">
        <v>3</v>
      </c>
      <c r="D3" s="12">
        <v>0.8</v>
      </c>
    </row>
    <row r="4" spans="1:25" ht="15" thickBot="1" x14ac:dyDescent="0.25">
      <c r="A4" s="51" t="s">
        <v>30</v>
      </c>
      <c r="B4" s="114"/>
      <c r="C4" s="59" t="s">
        <v>2</v>
      </c>
      <c r="D4" s="18">
        <v>0.2</v>
      </c>
    </row>
    <row r="5" spans="1:25" x14ac:dyDescent="0.2">
      <c r="A5" s="51"/>
      <c r="B5" s="114"/>
      <c r="C5" s="6"/>
      <c r="D5" s="8"/>
    </row>
    <row r="6" spans="1:25" ht="36.75" customHeight="1" thickBot="1" x14ac:dyDescent="0.25">
      <c r="A6" s="52"/>
      <c r="B6" s="115"/>
      <c r="C6" s="7"/>
      <c r="D6" s="9"/>
    </row>
    <row r="7" spans="1:25" s="3" customFormat="1" ht="19.5" customHeight="1" thickBot="1" x14ac:dyDescent="0.25">
      <c r="A7" s="53" t="s">
        <v>1</v>
      </c>
      <c r="B7" s="113" t="s">
        <v>119</v>
      </c>
      <c r="C7" s="59" t="s">
        <v>4</v>
      </c>
      <c r="D7" s="10">
        <v>0.3</v>
      </c>
      <c r="E7" s="4"/>
      <c r="F7" s="4"/>
      <c r="G7" s="4"/>
      <c r="H7" s="4"/>
      <c r="I7" s="4"/>
      <c r="J7" s="4"/>
      <c r="K7" s="4"/>
      <c r="L7" s="4"/>
      <c r="M7" s="4"/>
      <c r="N7" s="4"/>
      <c r="O7" s="4"/>
      <c r="P7" s="4"/>
      <c r="Q7" s="4"/>
      <c r="R7" s="4"/>
      <c r="S7" s="4"/>
      <c r="T7" s="4"/>
      <c r="U7" s="4"/>
      <c r="V7" s="4"/>
      <c r="W7" s="4"/>
      <c r="X7" s="4"/>
      <c r="Y7" s="4"/>
    </row>
    <row r="8" spans="1:25" s="4" customFormat="1" ht="15" customHeight="1" thickBot="1" x14ac:dyDescent="0.25">
      <c r="A8" s="54" t="s">
        <v>42</v>
      </c>
      <c r="B8" s="114"/>
      <c r="C8" s="59" t="s">
        <v>2</v>
      </c>
      <c r="D8" s="18">
        <v>0.35</v>
      </c>
    </row>
    <row r="9" spans="1:25" s="4" customFormat="1" ht="15" customHeight="1" thickBot="1" x14ac:dyDescent="0.25">
      <c r="A9" s="54"/>
      <c r="B9" s="114"/>
      <c r="C9" s="59" t="s">
        <v>6</v>
      </c>
      <c r="D9" s="18">
        <v>0.25</v>
      </c>
    </row>
    <row r="10" spans="1:25" s="4" customFormat="1" ht="15" thickBot="1" x14ac:dyDescent="0.25">
      <c r="A10" s="54"/>
      <c r="B10" s="114"/>
      <c r="C10" s="59" t="s">
        <v>5</v>
      </c>
      <c r="D10" s="18">
        <v>0.1</v>
      </c>
    </row>
    <row r="11" spans="1:25" s="5" customFormat="1" ht="15" thickBot="1" x14ac:dyDescent="0.25">
      <c r="A11" s="55"/>
      <c r="B11" s="115"/>
      <c r="C11" s="7"/>
      <c r="D11" s="11"/>
      <c r="E11" s="4"/>
      <c r="F11" s="4"/>
      <c r="G11" s="4"/>
      <c r="H11" s="4"/>
      <c r="I11" s="4"/>
      <c r="J11" s="4"/>
      <c r="K11" s="4"/>
      <c r="L11" s="4"/>
      <c r="M11" s="4"/>
      <c r="N11" s="4"/>
      <c r="O11" s="4"/>
      <c r="P11" s="4"/>
      <c r="Q11" s="4"/>
      <c r="R11" s="4"/>
      <c r="S11" s="4"/>
      <c r="T11" s="4"/>
      <c r="U11" s="4"/>
      <c r="V11" s="4"/>
      <c r="W11" s="4"/>
      <c r="X11" s="4"/>
      <c r="Y11" s="4"/>
    </row>
    <row r="12" spans="1:25" ht="21.75" customHeight="1" thickBot="1" x14ac:dyDescent="0.25">
      <c r="A12" s="56" t="s">
        <v>13</v>
      </c>
      <c r="B12" s="113" t="s">
        <v>52</v>
      </c>
      <c r="C12" s="19" t="s">
        <v>100</v>
      </c>
      <c r="D12" s="12">
        <v>0.3</v>
      </c>
    </row>
    <row r="13" spans="1:25" ht="15" thickBot="1" x14ac:dyDescent="0.25">
      <c r="A13" s="51"/>
      <c r="B13" s="114"/>
      <c r="C13" s="60" t="s">
        <v>4</v>
      </c>
      <c r="D13" s="18">
        <v>0.15</v>
      </c>
    </row>
    <row r="14" spans="1:25" ht="15" customHeight="1" thickBot="1" x14ac:dyDescent="0.25">
      <c r="A14" s="51"/>
      <c r="B14" s="114"/>
      <c r="C14" s="16" t="s">
        <v>7</v>
      </c>
      <c r="D14" s="13">
        <v>0.2</v>
      </c>
    </row>
    <row r="15" spans="1:25" ht="15" customHeight="1" thickBot="1" x14ac:dyDescent="0.25">
      <c r="A15" s="51"/>
      <c r="B15" s="114"/>
      <c r="C15" s="60" t="s">
        <v>2</v>
      </c>
      <c r="D15" s="18">
        <v>0.1</v>
      </c>
    </row>
    <row r="16" spans="1:25" ht="15" thickBot="1" x14ac:dyDescent="0.25">
      <c r="A16" s="51"/>
      <c r="B16" s="114"/>
      <c r="C16" s="60" t="s">
        <v>8</v>
      </c>
      <c r="D16" s="18">
        <v>0.1</v>
      </c>
    </row>
    <row r="17" spans="1:4" ht="15" thickBot="1" x14ac:dyDescent="0.25">
      <c r="A17" s="52"/>
      <c r="B17" s="115"/>
      <c r="C17" s="17" t="s">
        <v>9</v>
      </c>
      <c r="D17" s="14">
        <v>0.15</v>
      </c>
    </row>
    <row r="18" spans="1:4" ht="15" customHeight="1" thickBot="1" x14ac:dyDescent="0.25">
      <c r="A18" s="72" t="s">
        <v>11</v>
      </c>
      <c r="B18" s="113" t="s">
        <v>28</v>
      </c>
      <c r="C18" s="19" t="s">
        <v>100</v>
      </c>
      <c r="D18" s="12">
        <v>0.05</v>
      </c>
    </row>
    <row r="19" spans="1:4" ht="15" customHeight="1" thickBot="1" x14ac:dyDescent="0.25">
      <c r="A19" s="71" t="s">
        <v>12</v>
      </c>
      <c r="B19" s="114"/>
      <c r="C19" s="61" t="s">
        <v>4</v>
      </c>
      <c r="D19" s="18">
        <v>0.05</v>
      </c>
    </row>
    <row r="20" spans="1:4" ht="15" customHeight="1" thickBot="1" x14ac:dyDescent="0.25">
      <c r="A20" s="73"/>
      <c r="B20" s="114"/>
      <c r="C20" s="61" t="s">
        <v>3</v>
      </c>
      <c r="D20" s="18">
        <v>0.72</v>
      </c>
    </row>
    <row r="21" spans="1:4" ht="15" customHeight="1" thickBot="1" x14ac:dyDescent="0.25">
      <c r="A21" s="73"/>
      <c r="B21" s="114"/>
      <c r="C21" s="61" t="s">
        <v>2</v>
      </c>
      <c r="D21" s="18">
        <v>0.18</v>
      </c>
    </row>
    <row r="22" spans="1:4" x14ac:dyDescent="0.2">
      <c r="A22" s="73"/>
      <c r="B22" s="114"/>
      <c r="C22" s="62"/>
      <c r="D22" s="20"/>
    </row>
    <row r="23" spans="1:4" ht="23.25" customHeight="1" thickBot="1" x14ac:dyDescent="0.25">
      <c r="A23" s="74"/>
      <c r="B23" s="115"/>
      <c r="C23" s="62"/>
      <c r="D23" s="20"/>
    </row>
    <row r="24" spans="1:4" ht="20.25" customHeight="1" thickBot="1" x14ac:dyDescent="0.25">
      <c r="A24" s="56" t="s">
        <v>10</v>
      </c>
      <c r="B24" s="113" t="s">
        <v>29</v>
      </c>
      <c r="C24" s="19" t="s">
        <v>100</v>
      </c>
      <c r="D24" s="12">
        <v>0.1</v>
      </c>
    </row>
    <row r="25" spans="1:4" ht="15" thickBot="1" x14ac:dyDescent="0.25">
      <c r="A25" s="51"/>
      <c r="B25" s="114"/>
      <c r="C25" s="61" t="s">
        <v>4</v>
      </c>
      <c r="D25" s="18">
        <v>0.1</v>
      </c>
    </row>
    <row r="26" spans="1:4" ht="15" thickBot="1" x14ac:dyDescent="0.25">
      <c r="A26" s="51"/>
      <c r="B26" s="114"/>
      <c r="C26" s="64" t="s">
        <v>3</v>
      </c>
      <c r="D26" s="13">
        <v>0.64</v>
      </c>
    </row>
    <row r="27" spans="1:4" ht="54.75" customHeight="1" thickBot="1" x14ac:dyDescent="0.25">
      <c r="A27" s="52"/>
      <c r="B27" s="115"/>
      <c r="C27" s="38" t="s">
        <v>2</v>
      </c>
      <c r="D27" s="39">
        <v>0.16</v>
      </c>
    </row>
    <row r="28" spans="1:4" ht="15" thickBot="1" x14ac:dyDescent="0.25">
      <c r="A28" s="40" t="s">
        <v>31</v>
      </c>
      <c r="B28" s="113" t="s">
        <v>32</v>
      </c>
      <c r="C28" s="19" t="s">
        <v>100</v>
      </c>
      <c r="D28" s="44">
        <v>0.65</v>
      </c>
    </row>
    <row r="29" spans="1:4" ht="59.25" customHeight="1" thickBot="1" x14ac:dyDescent="0.25">
      <c r="A29" s="57" t="s">
        <v>33</v>
      </c>
      <c r="B29" s="115"/>
      <c r="C29" s="58" t="s">
        <v>34</v>
      </c>
      <c r="D29" s="39">
        <v>0.35</v>
      </c>
    </row>
    <row r="30" spans="1:4" ht="15" thickBot="1" x14ac:dyDescent="0.25">
      <c r="A30" s="41" t="s">
        <v>35</v>
      </c>
      <c r="B30" s="117" t="s">
        <v>36</v>
      </c>
      <c r="C30" s="66" t="s">
        <v>37</v>
      </c>
      <c r="D30" s="10">
        <v>0.15</v>
      </c>
    </row>
    <row r="31" spans="1:4" ht="15" thickBot="1" x14ac:dyDescent="0.25">
      <c r="A31" s="116" t="s">
        <v>38</v>
      </c>
      <c r="B31" s="127"/>
      <c r="C31" s="61" t="s">
        <v>39</v>
      </c>
      <c r="D31" s="18">
        <v>0.6</v>
      </c>
    </row>
    <row r="32" spans="1:4" x14ac:dyDescent="0.2">
      <c r="A32" s="116"/>
      <c r="B32" s="127"/>
      <c r="C32" s="63" t="s">
        <v>40</v>
      </c>
      <c r="D32" s="42">
        <v>0.25</v>
      </c>
    </row>
    <row r="33" spans="1:4" ht="28.5" customHeight="1" x14ac:dyDescent="0.2">
      <c r="A33" s="116"/>
      <c r="B33" s="127"/>
      <c r="C33" s="63"/>
      <c r="D33" s="42"/>
    </row>
    <row r="34" spans="1:4" ht="32.25" customHeight="1" thickBot="1" x14ac:dyDescent="0.25">
      <c r="A34" s="116"/>
      <c r="B34" s="127"/>
      <c r="C34" s="63"/>
      <c r="D34" s="42"/>
    </row>
    <row r="35" spans="1:4" ht="60.75" thickBot="1" x14ac:dyDescent="0.25">
      <c r="A35" s="67" t="s">
        <v>41</v>
      </c>
      <c r="B35" s="81" t="s">
        <v>53</v>
      </c>
      <c r="C35" s="68" t="s">
        <v>34</v>
      </c>
      <c r="D35" s="69">
        <v>1</v>
      </c>
    </row>
    <row r="36" spans="1:4" x14ac:dyDescent="0.2">
      <c r="A36" s="45" t="s">
        <v>43</v>
      </c>
      <c r="B36" s="117" t="s">
        <v>44</v>
      </c>
      <c r="C36" s="119" t="s">
        <v>45</v>
      </c>
      <c r="D36" s="125">
        <v>1</v>
      </c>
    </row>
    <row r="37" spans="1:4" ht="64.5" customHeight="1" thickBot="1" x14ac:dyDescent="0.25">
      <c r="A37" s="46" t="s">
        <v>46</v>
      </c>
      <c r="B37" s="118"/>
      <c r="C37" s="120"/>
      <c r="D37" s="126"/>
    </row>
    <row r="38" spans="1:4" x14ac:dyDescent="0.2">
      <c r="A38" s="47" t="s">
        <v>47</v>
      </c>
      <c r="B38" s="113" t="s">
        <v>79</v>
      </c>
      <c r="C38" s="48" t="s">
        <v>48</v>
      </c>
      <c r="D38" s="12">
        <v>0.5</v>
      </c>
    </row>
    <row r="39" spans="1:4" ht="15" thickBot="1" x14ac:dyDescent="0.25">
      <c r="A39" s="49"/>
      <c r="B39" s="115"/>
      <c r="C39" s="43" t="s">
        <v>49</v>
      </c>
      <c r="D39" s="50">
        <v>0.5</v>
      </c>
    </row>
    <row r="40" spans="1:4" ht="15" thickBot="1" x14ac:dyDescent="0.25">
      <c r="A40" s="51" t="s">
        <v>74</v>
      </c>
      <c r="B40" s="114" t="s">
        <v>14</v>
      </c>
      <c r="C40" s="76" t="s">
        <v>3</v>
      </c>
      <c r="D40" s="13">
        <v>0.8</v>
      </c>
    </row>
    <row r="41" spans="1:4" ht="15" thickBot="1" x14ac:dyDescent="0.25">
      <c r="A41" s="51"/>
      <c r="B41" s="114"/>
      <c r="C41" s="59" t="s">
        <v>2</v>
      </c>
      <c r="D41" s="18">
        <v>0.2</v>
      </c>
    </row>
    <row r="42" spans="1:4" ht="30" customHeight="1" x14ac:dyDescent="0.2">
      <c r="A42" s="51"/>
      <c r="B42" s="114"/>
      <c r="C42" s="6"/>
      <c r="D42" s="8"/>
    </row>
    <row r="43" spans="1:4" ht="27" customHeight="1" thickBot="1" x14ac:dyDescent="0.25">
      <c r="A43" s="52"/>
      <c r="B43" s="115"/>
      <c r="C43" s="7"/>
      <c r="D43" s="9"/>
    </row>
    <row r="44" spans="1:4" ht="15" thickBot="1" x14ac:dyDescent="0.25">
      <c r="A44" s="54" t="s">
        <v>78</v>
      </c>
      <c r="B44" s="113" t="s">
        <v>51</v>
      </c>
      <c r="C44" s="59" t="s">
        <v>4</v>
      </c>
      <c r="D44" s="10">
        <v>0.3</v>
      </c>
    </row>
    <row r="45" spans="1:4" ht="15" thickBot="1" x14ac:dyDescent="0.25">
      <c r="A45" s="54"/>
      <c r="B45" s="114"/>
      <c r="C45" s="59" t="s">
        <v>2</v>
      </c>
      <c r="D45" s="77">
        <v>0.35</v>
      </c>
    </row>
    <row r="46" spans="1:4" ht="15" thickBot="1" x14ac:dyDescent="0.25">
      <c r="A46" s="54"/>
      <c r="B46" s="114"/>
      <c r="C46" s="59" t="s">
        <v>6</v>
      </c>
      <c r="D46" s="77">
        <v>0.25</v>
      </c>
    </row>
    <row r="47" spans="1:4" ht="15" thickBot="1" x14ac:dyDescent="0.25">
      <c r="A47" s="54"/>
      <c r="B47" s="114"/>
      <c r="C47" s="59" t="s">
        <v>5</v>
      </c>
      <c r="D47" s="77">
        <v>0.1</v>
      </c>
    </row>
    <row r="48" spans="1:4" ht="15" thickBot="1" x14ac:dyDescent="0.25">
      <c r="A48" s="55"/>
      <c r="B48" s="115"/>
      <c r="C48" s="7"/>
      <c r="D48" s="78"/>
    </row>
    <row r="49" spans="1:4" ht="15" thickBot="1" x14ac:dyDescent="0.25">
      <c r="A49" s="56" t="s">
        <v>75</v>
      </c>
      <c r="B49" s="113" t="s">
        <v>29</v>
      </c>
      <c r="C49" s="19" t="s">
        <v>100</v>
      </c>
      <c r="D49" s="12">
        <v>0.1</v>
      </c>
    </row>
    <row r="50" spans="1:4" ht="15" thickBot="1" x14ac:dyDescent="0.25">
      <c r="A50" s="51"/>
      <c r="B50" s="114"/>
      <c r="C50" s="61" t="s">
        <v>4</v>
      </c>
      <c r="D50" s="18">
        <v>0.1</v>
      </c>
    </row>
    <row r="51" spans="1:4" ht="15" thickBot="1" x14ac:dyDescent="0.25">
      <c r="A51" s="51"/>
      <c r="B51" s="114"/>
      <c r="C51" s="64" t="s">
        <v>3</v>
      </c>
      <c r="D51" s="13">
        <v>0.64</v>
      </c>
    </row>
    <row r="52" spans="1:4" ht="75" customHeight="1" thickBot="1" x14ac:dyDescent="0.25">
      <c r="A52" s="52"/>
      <c r="B52" s="115"/>
      <c r="C52" s="38" t="s">
        <v>2</v>
      </c>
      <c r="D52" s="39">
        <v>0.16</v>
      </c>
    </row>
    <row r="53" spans="1:4" ht="15" thickBot="1" x14ac:dyDescent="0.25">
      <c r="A53" s="40" t="s">
        <v>76</v>
      </c>
      <c r="B53" s="113" t="s">
        <v>32</v>
      </c>
      <c r="C53" s="19" t="s">
        <v>100</v>
      </c>
      <c r="D53" s="44">
        <v>0.65</v>
      </c>
    </row>
    <row r="54" spans="1:4" ht="74.25" customHeight="1" thickBot="1" x14ac:dyDescent="0.25">
      <c r="A54" s="57"/>
      <c r="B54" s="115"/>
      <c r="C54" s="58" t="s">
        <v>34</v>
      </c>
      <c r="D54" s="39">
        <v>0.35</v>
      </c>
    </row>
    <row r="55" spans="1:4" ht="15" thickBot="1" x14ac:dyDescent="0.25">
      <c r="A55" s="41" t="s">
        <v>77</v>
      </c>
      <c r="B55" s="117" t="s">
        <v>36</v>
      </c>
      <c r="C55" s="66" t="s">
        <v>37</v>
      </c>
      <c r="D55" s="10">
        <v>0.15</v>
      </c>
    </row>
    <row r="56" spans="1:4" ht="15" thickBot="1" x14ac:dyDescent="0.25">
      <c r="A56" s="116"/>
      <c r="B56" s="127"/>
      <c r="C56" s="61" t="s">
        <v>39</v>
      </c>
      <c r="D56" s="18">
        <v>0.6</v>
      </c>
    </row>
    <row r="57" spans="1:4" x14ac:dyDescent="0.2">
      <c r="A57" s="116"/>
      <c r="B57" s="127"/>
      <c r="C57" s="63" t="s">
        <v>40</v>
      </c>
      <c r="D57" s="42">
        <v>0.25</v>
      </c>
    </row>
    <row r="58" spans="1:4" x14ac:dyDescent="0.2">
      <c r="A58" s="116"/>
      <c r="B58" s="127"/>
      <c r="C58" s="63"/>
      <c r="D58" s="42"/>
    </row>
    <row r="59" spans="1:4" ht="48.75" customHeight="1" thickBot="1" x14ac:dyDescent="0.25">
      <c r="A59" s="128"/>
      <c r="B59" s="118"/>
      <c r="C59" s="79"/>
      <c r="D59" s="80"/>
    </row>
    <row r="60" spans="1:4" ht="15" thickBot="1" x14ac:dyDescent="0.25"/>
    <row r="61" spans="1:4" x14ac:dyDescent="0.2">
      <c r="A61" s="121" t="s">
        <v>103</v>
      </c>
      <c r="B61" s="122"/>
      <c r="C61" s="122"/>
      <c r="D61" s="122"/>
    </row>
    <row r="62" spans="1:4" ht="15" thickBot="1" x14ac:dyDescent="0.25">
      <c r="A62" s="123"/>
      <c r="B62" s="124"/>
      <c r="C62" s="124"/>
      <c r="D62" s="124"/>
    </row>
  </sheetData>
  <autoFilter ref="A2:Y59"/>
  <mergeCells count="19">
    <mergeCell ref="C36:C37"/>
    <mergeCell ref="B38:B39"/>
    <mergeCell ref="A61:D62"/>
    <mergeCell ref="D36:D37"/>
    <mergeCell ref="B28:B29"/>
    <mergeCell ref="B30:B34"/>
    <mergeCell ref="B40:B43"/>
    <mergeCell ref="B44:B48"/>
    <mergeCell ref="B49:B52"/>
    <mergeCell ref="B53:B54"/>
    <mergeCell ref="B55:B59"/>
    <mergeCell ref="A56:A59"/>
    <mergeCell ref="B3:B6"/>
    <mergeCell ref="B7:B11"/>
    <mergeCell ref="A31:A34"/>
    <mergeCell ref="B36:B37"/>
    <mergeCell ref="B12:B17"/>
    <mergeCell ref="B18:B23"/>
    <mergeCell ref="B24:B27"/>
  </mergeCells>
  <pageMargins left="0.70866141732283472" right="0.70866141732283472" top="0.74803149606299213" bottom="0.74803149606299213" header="0.31496062992125984" footer="0.31496062992125984"/>
  <pageSetup paperSize="9" scale="70" fitToWidth="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S32"/>
  <sheetViews>
    <sheetView rightToLeft="1" workbookViewId="0">
      <selection activeCell="A36" sqref="A36"/>
    </sheetView>
  </sheetViews>
  <sheetFormatPr defaultColWidth="9" defaultRowHeight="14.25" x14ac:dyDescent="0.2"/>
  <cols>
    <col min="1" max="1" width="44.5" style="86" bestFit="1" customWidth="1"/>
    <col min="2" max="2" width="10.375" style="86" bestFit="1" customWidth="1"/>
    <col min="3" max="3" width="9.875" style="86" customWidth="1"/>
    <col min="4" max="4" width="9" style="86" customWidth="1"/>
    <col min="5" max="5" width="8.75" style="86" bestFit="1" customWidth="1"/>
    <col min="6" max="6" width="57.25" style="86" bestFit="1" customWidth="1"/>
  </cols>
  <sheetData>
    <row r="1" spans="1:253" ht="15" thickBot="1" x14ac:dyDescent="0.25">
      <c r="A1" s="21"/>
      <c r="B1" s="21"/>
      <c r="C1" s="21"/>
      <c r="D1" s="21"/>
      <c r="E1" s="21"/>
      <c r="F1" s="21"/>
    </row>
    <row r="2" spans="1:253" ht="15" thickBot="1" x14ac:dyDescent="0.25">
      <c r="A2" s="21"/>
      <c r="B2" s="21"/>
      <c r="C2" s="21"/>
      <c r="D2" s="21"/>
      <c r="E2" s="21"/>
      <c r="F2" s="21"/>
    </row>
    <row r="3" spans="1:253" ht="15" thickBot="1" x14ac:dyDescent="0.25">
      <c r="A3" s="21"/>
      <c r="B3" s="21"/>
      <c r="C3" s="21"/>
      <c r="D3" s="21"/>
      <c r="E3" s="21"/>
      <c r="F3" s="21"/>
    </row>
    <row r="4" spans="1:253" ht="15" thickBot="1" x14ac:dyDescent="0.25">
      <c r="A4" s="21"/>
      <c r="B4" s="21"/>
      <c r="C4" s="21"/>
      <c r="D4" s="21"/>
      <c r="E4" s="21"/>
      <c r="F4" s="21"/>
    </row>
    <row r="5" spans="1:253" ht="15.75" thickBot="1" x14ac:dyDescent="0.3">
      <c r="A5" s="75" t="s">
        <v>83</v>
      </c>
      <c r="B5" s="21"/>
      <c r="C5" s="21"/>
      <c r="D5" s="21"/>
      <c r="E5" s="21"/>
      <c r="F5" s="21"/>
    </row>
    <row r="6" spans="1:253" ht="15" thickBot="1" x14ac:dyDescent="0.25">
      <c r="A6" s="21" t="s">
        <v>84</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row>
    <row r="7" spans="1:253" s="86" customFormat="1" ht="75.75" thickBot="1" x14ac:dyDescent="0.25">
      <c r="A7" s="23" t="s">
        <v>16</v>
      </c>
      <c r="B7" s="25" t="s">
        <v>119</v>
      </c>
      <c r="C7" s="25" t="s">
        <v>116</v>
      </c>
      <c r="D7" s="23" t="s">
        <v>17</v>
      </c>
      <c r="E7" s="24" t="s">
        <v>117</v>
      </c>
      <c r="F7" s="23" t="s">
        <v>18</v>
      </c>
    </row>
    <row r="8" spans="1:253" s="86" customFormat="1" ht="15" thickBot="1" x14ac:dyDescent="0.25">
      <c r="A8" s="26" t="s">
        <v>122</v>
      </c>
      <c r="B8" s="82">
        <v>0.18340000000000001</v>
      </c>
      <c r="C8" s="102">
        <v>0.17</v>
      </c>
      <c r="D8" s="98">
        <v>0.06</v>
      </c>
      <c r="E8" s="102" t="s">
        <v>26</v>
      </c>
      <c r="F8" s="134" t="s">
        <v>97</v>
      </c>
    </row>
    <row r="9" spans="1:253" s="86" customFormat="1" ht="15" thickBot="1" x14ac:dyDescent="0.25">
      <c r="A9" s="26" t="s">
        <v>20</v>
      </c>
      <c r="B9" s="82">
        <v>0.3296</v>
      </c>
      <c r="C9" s="102">
        <v>0.33</v>
      </c>
      <c r="D9" s="98">
        <v>0.05</v>
      </c>
      <c r="E9" s="102" t="s">
        <v>82</v>
      </c>
      <c r="F9" s="134" t="s">
        <v>21</v>
      </c>
    </row>
    <row r="10" spans="1:253" s="86" customFormat="1" ht="15" thickBot="1" x14ac:dyDescent="0.25">
      <c r="A10" s="26" t="s">
        <v>114</v>
      </c>
      <c r="B10" s="82">
        <v>0.34460000000000002</v>
      </c>
      <c r="C10" s="102">
        <v>0.4</v>
      </c>
      <c r="D10" s="98">
        <v>0.06</v>
      </c>
      <c r="E10" s="102" t="s">
        <v>95</v>
      </c>
      <c r="F10" s="135" t="s">
        <v>23</v>
      </c>
    </row>
    <row r="11" spans="1:253" s="86" customFormat="1" ht="15" thickBot="1" x14ac:dyDescent="0.25">
      <c r="A11" s="26" t="s">
        <v>105</v>
      </c>
      <c r="B11" s="82">
        <v>0.1444</v>
      </c>
      <c r="C11" s="102">
        <v>0.08</v>
      </c>
      <c r="D11" s="98"/>
      <c r="E11" s="102"/>
      <c r="F11" s="136"/>
    </row>
    <row r="12" spans="1:253" s="86" customFormat="1" ht="15" thickBot="1" x14ac:dyDescent="0.25">
      <c r="A12" s="138" t="s">
        <v>106</v>
      </c>
      <c r="B12" s="82">
        <v>-1E-4</v>
      </c>
      <c r="C12" s="102">
        <v>0.02</v>
      </c>
      <c r="D12" s="98">
        <v>0.05</v>
      </c>
      <c r="E12" s="102" t="s">
        <v>55</v>
      </c>
      <c r="F12" s="136"/>
    </row>
    <row r="13" spans="1:253" s="86" customFormat="1" ht="15" thickBot="1" x14ac:dyDescent="0.25">
      <c r="A13" s="26" t="s">
        <v>25</v>
      </c>
      <c r="B13" s="82">
        <f>SUM(B8:B12)</f>
        <v>1.0019</v>
      </c>
      <c r="C13" s="102">
        <f>SUM(C8:C12)</f>
        <v>1</v>
      </c>
      <c r="D13" s="98"/>
      <c r="E13" s="102"/>
      <c r="F13" s="136"/>
    </row>
    <row r="14" spans="1:253" s="86" customFormat="1" ht="15" thickBot="1" x14ac:dyDescent="0.25">
      <c r="A14" s="139" t="s">
        <v>107</v>
      </c>
      <c r="B14" s="82">
        <v>0.15390000000000001</v>
      </c>
      <c r="C14" s="102">
        <v>0.16</v>
      </c>
      <c r="D14" s="98">
        <v>0.06</v>
      </c>
      <c r="E14" s="102" t="s">
        <v>121</v>
      </c>
      <c r="F14" s="136"/>
    </row>
    <row r="15" spans="1:253" s="86" customFormat="1" ht="15" thickBot="1" x14ac:dyDescent="0.25">
      <c r="A15" s="36" t="s">
        <v>27</v>
      </c>
      <c r="B15" s="37"/>
      <c r="C15" s="37"/>
      <c r="D15" s="35"/>
      <c r="E15" s="35"/>
      <c r="F15" s="35"/>
    </row>
    <row r="16" spans="1:253" s="86" customFormat="1" ht="15" thickBot="1" x14ac:dyDescent="0.25">
      <c r="A16" s="36" t="s">
        <v>113</v>
      </c>
      <c r="B16" s="37"/>
      <c r="C16" s="37"/>
      <c r="D16" s="35"/>
      <c r="E16" s="35"/>
      <c r="F16" s="35"/>
    </row>
    <row r="17" spans="1:6" ht="15" thickBot="1" x14ac:dyDescent="0.25">
      <c r="A17" s="36" t="s">
        <v>111</v>
      </c>
      <c r="B17" s="37"/>
      <c r="C17" s="37"/>
      <c r="D17" s="35"/>
      <c r="E17" s="35"/>
      <c r="F17" s="35"/>
    </row>
    <row r="18" spans="1:6" ht="15" thickBot="1" x14ac:dyDescent="0.25">
      <c r="A18" s="36" t="s">
        <v>104</v>
      </c>
      <c r="B18" s="37"/>
      <c r="C18" s="37"/>
      <c r="D18" s="35"/>
      <c r="E18" s="35"/>
      <c r="F18" s="35"/>
    </row>
    <row r="19" spans="1:6" ht="15" thickBot="1" x14ac:dyDescent="0.25">
      <c r="A19" s="36" t="s">
        <v>112</v>
      </c>
      <c r="B19" s="21"/>
      <c r="C19" s="21"/>
      <c r="D19" s="21"/>
      <c r="E19" s="21"/>
      <c r="F19" s="21"/>
    </row>
    <row r="20" spans="1:6" s="86" customFormat="1" x14ac:dyDescent="0.2">
      <c r="A20" s="107" t="s">
        <v>103</v>
      </c>
      <c r="B20" s="108"/>
      <c r="C20" s="108"/>
      <c r="D20" s="108"/>
      <c r="E20" s="108"/>
      <c r="F20" s="109"/>
    </row>
    <row r="21" spans="1:6" s="86" customFormat="1" ht="15" customHeight="1" thickBot="1" x14ac:dyDescent="0.25">
      <c r="A21" s="110"/>
      <c r="B21" s="111"/>
      <c r="C21" s="111"/>
      <c r="D21" s="111"/>
      <c r="E21" s="111"/>
      <c r="F21" s="112"/>
    </row>
    <row r="22" spans="1:6" ht="15" thickBot="1" x14ac:dyDescent="0.25">
      <c r="A22" s="36" t="s">
        <v>85</v>
      </c>
      <c r="B22" s="21"/>
      <c r="C22" s="21"/>
      <c r="D22" s="21"/>
      <c r="E22" s="21"/>
      <c r="F22" s="21"/>
    </row>
    <row r="23" spans="1:6" ht="15" thickBot="1" x14ac:dyDescent="0.25">
      <c r="A23" s="21"/>
      <c r="B23" s="21"/>
      <c r="C23" s="21"/>
      <c r="D23" s="21"/>
      <c r="E23" s="21"/>
      <c r="F23" s="21"/>
    </row>
    <row r="30" spans="1:6" x14ac:dyDescent="0.2">
      <c r="A30"/>
      <c r="B30"/>
      <c r="F30"/>
    </row>
    <row r="31" spans="1:6" x14ac:dyDescent="0.2">
      <c r="A31"/>
      <c r="B31"/>
      <c r="F31"/>
    </row>
    <row r="32" spans="1:6" x14ac:dyDescent="0.2">
      <c r="A32"/>
      <c r="B32"/>
      <c r="F32"/>
    </row>
  </sheetData>
  <mergeCells count="1">
    <mergeCell ref="A20:F21"/>
  </mergeCells>
  <pageMargins left="0.7" right="0.7" top="0.75" bottom="0.75" header="0.3" footer="0.3"/>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F19"/>
  <sheetViews>
    <sheetView rightToLeft="1" workbookViewId="0">
      <selection activeCell="C26" sqref="C26"/>
    </sheetView>
  </sheetViews>
  <sheetFormatPr defaultColWidth="9" defaultRowHeight="14.25" x14ac:dyDescent="0.2"/>
  <cols>
    <col min="1" max="1" width="38.125" customWidth="1"/>
    <col min="2" max="2" width="43.25" customWidth="1"/>
    <col min="3" max="3" width="41.375" customWidth="1"/>
    <col min="4" max="4" width="21" customWidth="1"/>
    <col min="5" max="5" width="57" bestFit="1" customWidth="1"/>
  </cols>
  <sheetData>
    <row r="1" spans="1:5" ht="15" thickBot="1" x14ac:dyDescent="0.25">
      <c r="A1" s="21"/>
      <c r="B1" s="21"/>
      <c r="C1" s="21"/>
      <c r="D1" s="21"/>
      <c r="E1" s="21"/>
    </row>
    <row r="2" spans="1:5" s="86" customFormat="1" ht="15" thickBot="1" x14ac:dyDescent="0.25">
      <c r="A2" s="21"/>
      <c r="B2" s="21"/>
      <c r="C2" s="21"/>
      <c r="D2" s="21"/>
      <c r="E2" s="21"/>
    </row>
    <row r="3" spans="1:5" s="86" customFormat="1" ht="15" thickBot="1" x14ac:dyDescent="0.25">
      <c r="A3" s="21"/>
      <c r="B3" s="21"/>
      <c r="C3" s="21"/>
      <c r="D3" s="21"/>
      <c r="E3" s="21"/>
    </row>
    <row r="4" spans="1:5" ht="15" thickBot="1" x14ac:dyDescent="0.25">
      <c r="A4" s="21"/>
      <c r="B4" s="21"/>
      <c r="C4" s="21"/>
      <c r="D4" s="21"/>
      <c r="E4" s="21"/>
    </row>
    <row r="5" spans="1:5" ht="16.5" thickBot="1" x14ac:dyDescent="0.3">
      <c r="A5" s="22" t="s">
        <v>86</v>
      </c>
      <c r="B5" s="21"/>
      <c r="C5" s="21"/>
      <c r="D5" s="21"/>
      <c r="E5" s="21"/>
    </row>
    <row r="6" spans="1:5" ht="15" thickBot="1" x14ac:dyDescent="0.25">
      <c r="A6" s="87" t="s">
        <v>87</v>
      </c>
      <c r="B6" s="21"/>
      <c r="C6" s="21"/>
      <c r="D6" s="21"/>
      <c r="E6" s="21"/>
    </row>
    <row r="7" spans="1:5" ht="24.75" customHeight="1" thickBot="1" x14ac:dyDescent="0.3">
      <c r="A7" s="88" t="s">
        <v>88</v>
      </c>
      <c r="B7" s="2" t="s">
        <v>119</v>
      </c>
      <c r="C7" s="2" t="s">
        <v>126</v>
      </c>
      <c r="D7" s="2"/>
    </row>
    <row r="8" spans="1:5" ht="15" thickBot="1" x14ac:dyDescent="0.25">
      <c r="A8" s="56" t="s">
        <v>89</v>
      </c>
      <c r="B8" s="113" t="s">
        <v>52</v>
      </c>
      <c r="C8" s="15" t="s">
        <v>100</v>
      </c>
      <c r="D8" s="12">
        <v>0.3</v>
      </c>
    </row>
    <row r="9" spans="1:5" ht="15" thickBot="1" x14ac:dyDescent="0.25">
      <c r="A9" s="51"/>
      <c r="B9" s="114"/>
      <c r="C9" s="60" t="s">
        <v>4</v>
      </c>
      <c r="D9" s="18">
        <v>0.15</v>
      </c>
    </row>
    <row r="10" spans="1:5" ht="15" thickBot="1" x14ac:dyDescent="0.25">
      <c r="A10" s="51"/>
      <c r="B10" s="114"/>
      <c r="C10" s="16" t="s">
        <v>7</v>
      </c>
      <c r="D10" s="13">
        <v>0.2</v>
      </c>
    </row>
    <row r="11" spans="1:5" ht="15" thickBot="1" x14ac:dyDescent="0.25">
      <c r="A11" s="51"/>
      <c r="B11" s="114"/>
      <c r="C11" s="60" t="s">
        <v>2</v>
      </c>
      <c r="D11" s="18">
        <v>0.1</v>
      </c>
    </row>
    <row r="12" spans="1:5" ht="15" thickBot="1" x14ac:dyDescent="0.25">
      <c r="A12" s="51"/>
      <c r="B12" s="114"/>
      <c r="C12" s="60" t="s">
        <v>8</v>
      </c>
      <c r="D12" s="18">
        <v>0.1</v>
      </c>
    </row>
    <row r="13" spans="1:5" ht="23.25" customHeight="1" thickBot="1" x14ac:dyDescent="0.25">
      <c r="A13" s="52"/>
      <c r="B13" s="115"/>
      <c r="C13" s="17" t="s">
        <v>9</v>
      </c>
      <c r="D13" s="14">
        <v>0.15</v>
      </c>
    </row>
    <row r="15" spans="1:5" ht="15" thickBot="1" x14ac:dyDescent="0.25"/>
    <row r="16" spans="1:5" ht="15" thickBot="1" x14ac:dyDescent="0.25">
      <c r="A16" s="84" t="s">
        <v>85</v>
      </c>
    </row>
    <row r="17" spans="1:6" ht="15" thickBot="1" x14ac:dyDescent="0.25"/>
    <row r="18" spans="1:6" ht="14.25" customHeight="1" x14ac:dyDescent="0.2">
      <c r="A18" s="107" t="s">
        <v>103</v>
      </c>
      <c r="B18" s="108"/>
      <c r="C18" s="108"/>
      <c r="D18" s="108"/>
      <c r="E18" s="90"/>
      <c r="F18" s="91"/>
    </row>
    <row r="19" spans="1:6" ht="15" thickBot="1" x14ac:dyDescent="0.25">
      <c r="A19" s="110"/>
      <c r="B19" s="111"/>
      <c r="C19" s="111"/>
      <c r="D19" s="111"/>
      <c r="E19" s="92"/>
      <c r="F19" s="93"/>
    </row>
  </sheetData>
  <mergeCells count="2">
    <mergeCell ref="B8:B13"/>
    <mergeCell ref="A18:D19"/>
  </mergeCells>
  <pageMargins left="0.7" right="0.7" top="0.75" bottom="0.75" header="0.3" footer="0.3"/>
  <pageSetup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rightToLeft="1" workbookViewId="0">
      <selection activeCell="C26" sqref="C26"/>
    </sheetView>
  </sheetViews>
  <sheetFormatPr defaultColWidth="9" defaultRowHeight="14.25" x14ac:dyDescent="0.2"/>
  <cols>
    <col min="1" max="1" width="45.25" customWidth="1"/>
    <col min="2" max="2" width="42.75" customWidth="1"/>
    <col min="3" max="3" width="30.625" customWidth="1"/>
    <col min="4" max="4" width="13.375" customWidth="1"/>
    <col min="5" max="5" width="57" bestFit="1" customWidth="1"/>
  </cols>
  <sheetData>
    <row r="1" spans="1:5" ht="15" thickBot="1" x14ac:dyDescent="0.25">
      <c r="A1" s="21"/>
      <c r="B1" s="21"/>
      <c r="C1" s="21"/>
      <c r="D1" s="21"/>
      <c r="E1" s="21"/>
    </row>
    <row r="2" spans="1:5" s="86" customFormat="1" ht="15" thickBot="1" x14ac:dyDescent="0.25">
      <c r="A2" s="21"/>
      <c r="B2" s="21"/>
      <c r="C2" s="21"/>
      <c r="D2" s="21"/>
      <c r="E2" s="21"/>
    </row>
    <row r="3" spans="1:5" s="86" customFormat="1" ht="15" thickBot="1" x14ac:dyDescent="0.25">
      <c r="A3" s="21"/>
      <c r="B3" s="21"/>
      <c r="C3" s="21"/>
      <c r="D3" s="21"/>
      <c r="E3" s="21"/>
    </row>
    <row r="4" spans="1:5" ht="15" thickBot="1" x14ac:dyDescent="0.25">
      <c r="A4" s="21"/>
      <c r="B4" s="21"/>
      <c r="C4" s="21"/>
      <c r="D4" s="21"/>
      <c r="E4" s="21"/>
    </row>
    <row r="5" spans="1:5" ht="16.5" thickBot="1" x14ac:dyDescent="0.3">
      <c r="A5" s="22" t="s">
        <v>90</v>
      </c>
      <c r="B5" s="21"/>
      <c r="C5" s="21"/>
      <c r="D5" s="21"/>
      <c r="E5" s="21"/>
    </row>
    <row r="6" spans="1:5" ht="15" thickBot="1" x14ac:dyDescent="0.25">
      <c r="A6" s="87" t="s">
        <v>91</v>
      </c>
      <c r="B6" s="21"/>
      <c r="C6" s="21"/>
      <c r="D6" s="21"/>
      <c r="E6" s="21"/>
    </row>
    <row r="7" spans="1:5" s="86" customFormat="1" ht="24.75" customHeight="1" thickBot="1" x14ac:dyDescent="0.3">
      <c r="A7" s="88" t="s">
        <v>88</v>
      </c>
      <c r="B7" s="2" t="s">
        <v>119</v>
      </c>
      <c r="C7" s="2" t="s">
        <v>126</v>
      </c>
      <c r="D7" s="2"/>
    </row>
    <row r="8" spans="1:5" ht="15" customHeight="1" thickBot="1" x14ac:dyDescent="0.25">
      <c r="A8" s="56" t="s">
        <v>92</v>
      </c>
      <c r="B8" s="113" t="s">
        <v>32</v>
      </c>
      <c r="C8" s="65" t="s">
        <v>100</v>
      </c>
      <c r="D8" s="44">
        <v>0.7</v>
      </c>
    </row>
    <row r="9" spans="1:5" ht="81" customHeight="1" thickBot="1" x14ac:dyDescent="0.25">
      <c r="A9" s="85"/>
      <c r="B9" s="115"/>
      <c r="C9" s="58" t="s">
        <v>34</v>
      </c>
      <c r="D9" s="39">
        <v>0.3</v>
      </c>
    </row>
    <row r="11" spans="1:5" ht="15" thickBot="1" x14ac:dyDescent="0.25"/>
    <row r="12" spans="1:5" ht="15" thickBot="1" x14ac:dyDescent="0.25">
      <c r="A12" s="84" t="s">
        <v>85</v>
      </c>
      <c r="B12" s="21"/>
      <c r="C12" s="21"/>
      <c r="D12" s="21"/>
    </row>
    <row r="13" spans="1:5" ht="15" thickBot="1" x14ac:dyDescent="0.25"/>
    <row r="14" spans="1:5" x14ac:dyDescent="0.2">
      <c r="A14" s="107" t="s">
        <v>103</v>
      </c>
      <c r="B14" s="108"/>
      <c r="C14" s="108"/>
      <c r="D14" s="108"/>
    </row>
    <row r="15" spans="1:5" ht="15" thickBot="1" x14ac:dyDescent="0.25">
      <c r="A15" s="110"/>
      <c r="B15" s="111"/>
      <c r="C15" s="111"/>
      <c r="D15" s="111"/>
    </row>
  </sheetData>
  <mergeCells count="2">
    <mergeCell ref="B8:B9"/>
    <mergeCell ref="A14:D15"/>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גליונות עבודה</vt:lpstr>
      </vt:variant>
      <vt:variant>
        <vt:i4>12</vt:i4>
      </vt:variant>
    </vt:vector>
  </HeadingPairs>
  <TitlesOfParts>
    <vt:vector size="12" baseType="lpstr">
      <vt:lpstr>אנליסט גמל לבני 50 ומטה</vt:lpstr>
      <vt:lpstr>אנליסט גמל לבני 50-60</vt:lpstr>
      <vt:lpstr>אנליסט גמל לבני 60 ומעלה </vt:lpstr>
      <vt:lpstr>אנליסט השתלמות כללי </vt:lpstr>
      <vt:lpstr>אנליסט פיצויים כללי</vt:lpstr>
      <vt:lpstr>אנליסט פיצויים עד 10% מניות</vt:lpstr>
      <vt:lpstr>אנליסט גמל להשקעה כללי</vt:lpstr>
      <vt:lpstr>אנליסט גמל להשקעה פאסיבי כללי</vt:lpstr>
      <vt:lpstr>מתמחות 2019 </vt:lpstr>
      <vt:lpstr>אנליסט חיסכון לילד-סיכון מועט</vt:lpstr>
      <vt:lpstr>אנליסט חיסכון לילד-סיכון בינוני</vt:lpstr>
      <vt:lpstr>אנליסט חיסכון לילד-סיכון גבוה</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2016-01-28T13:25:47Z</dcterms:created>
  <dcterms:modified xsi:type="dcterms:W3CDTF">2019-01-17T14:03:55Z</dcterms:modified>
  <cp:category/>
  <cp:contentStatus/>
</cp:coreProperties>
</file>