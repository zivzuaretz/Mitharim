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bookViews>
    <workbookView xWindow="0" yWindow="60" windowWidth="28800" windowHeight="7830" tabRatio="694"/>
  </bookViews>
  <sheets>
    <sheet name="אנליסט גמל לבני 50 ומטה" sheetId="3" r:id="rId1"/>
    <sheet name="אנליסט גמל לבני 50-60" sheetId="4" r:id="rId2"/>
    <sheet name="אנליסט גמל לבני 60 ומעלה " sheetId="5" r:id="rId3"/>
    <sheet name="אנליסט השתלמות כללי " sheetId="2" r:id="rId4"/>
    <sheet name="אנליסט פיצויים כללי" sheetId="6" r:id="rId5"/>
    <sheet name="אנליסט פיצויים עד 10% מניות" sheetId="7" r:id="rId6"/>
    <sheet name="אנליסט גמל להשקעה כללי" sheetId="9" r:id="rId7"/>
    <sheet name="אנליסט גמל להשקעה פאסיבי כללי" sheetId="10" r:id="rId8"/>
    <sheet name="מתמחות 2018 " sheetId="1" r:id="rId9"/>
    <sheet name="אנליסט חיסכון לילד-סיכון מועט" sheetId="11" r:id="rId10"/>
    <sheet name="אנליסט חיסכון לילד-סיכון בינוני" sheetId="12" r:id="rId11"/>
    <sheet name="אנליסט חיסכון לילד-סיכון גבוה" sheetId="13" r:id="rId12"/>
  </sheets>
  <calcPr calcId="162913"/>
</workbook>
</file>

<file path=xl/calcChain.xml><?xml version="1.0" encoding="utf-8"?>
<calcChain xmlns="http://schemas.openxmlformats.org/spreadsheetml/2006/main">
  <c r="B11" i="4" l="1"/>
  <c r="D13" i="9"/>
  <c r="B11" i="9"/>
  <c r="B11" i="7"/>
  <c r="B11" i="6"/>
  <c r="B11" i="2"/>
  <c r="D13" i="5"/>
  <c r="D13" i="11" l="1"/>
  <c r="D13" i="7"/>
  <c r="D13" i="4" l="1"/>
  <c r="D13" i="3" l="1"/>
  <c r="C13" i="11" l="1"/>
  <c r="B13" i="11"/>
  <c r="B13" i="10"/>
  <c r="C13" i="9"/>
  <c r="B13" i="9"/>
  <c r="C13" i="7"/>
  <c r="B13" i="7"/>
  <c r="C13" i="6"/>
  <c r="B13" i="6"/>
  <c r="C13" i="2"/>
  <c r="B13" i="2"/>
  <c r="C13" i="5"/>
  <c r="B13" i="5"/>
  <c r="C13" i="4"/>
  <c r="B13" i="4"/>
  <c r="C13" i="3"/>
  <c r="B13" i="3"/>
</calcChain>
</file>

<file path=xl/sharedStrings.xml><?xml version="1.0" encoding="utf-8"?>
<sst xmlns="http://schemas.openxmlformats.org/spreadsheetml/2006/main" count="445" uniqueCount="140">
  <si>
    <t>שם מסלול חדש</t>
  </si>
  <si>
    <t>אנליסט גמל חו"ל</t>
  </si>
  <si>
    <t>Barclays Global Aggregate Bond Index מדד</t>
  </si>
  <si>
    <t xml:space="preserve">מדד אגח כללי </t>
  </si>
  <si>
    <t xml:space="preserve">מדד MSCI WORLD </t>
  </si>
  <si>
    <t>מזומן- דולר</t>
  </si>
  <si>
    <t>bofa merrill lynch us treasury index</t>
  </si>
  <si>
    <t>מדד אגח קונצרני כללי</t>
  </si>
  <si>
    <t>מדד אג"ח ממשלתי כללי</t>
  </si>
  <si>
    <t>מזומן</t>
  </si>
  <si>
    <t>אנליסט השתלמות אג"ח עד 20% מניות</t>
  </si>
  <si>
    <t>אנליסט גמל אג"ח עד 10% מניות</t>
  </si>
  <si>
    <t>אנליסט השתלמות אג"ח עד 10% מניות</t>
  </si>
  <si>
    <t>אנליסט גמל  ישראל</t>
  </si>
  <si>
    <t xml:space="preserve">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</si>
  <si>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אנליסט השתלמות כללי</t>
  </si>
  <si>
    <t>אפיק השקעה</t>
  </si>
  <si>
    <t>טווח סטייה</t>
  </si>
  <si>
    <t>גבולות שיעור החשיפה הצפוי</t>
  </si>
  <si>
    <t>מדד ייחוס</t>
  </si>
  <si>
    <t>מניות (תעודות סל, אופציות קרנות נאמנות)</t>
  </si>
  <si>
    <t>אגח ממשלתי</t>
  </si>
  <si>
    <t>מדד כללי ממשלתי: 90%,  bofa merrill lynch us treasury index 10%</t>
  </si>
  <si>
    <t>24%-36%</t>
  </si>
  <si>
    <t>מדד אג"ח קונצרני כללי: 70%, Barclays Global Aggregate Corporate Bond Index  30%</t>
  </si>
  <si>
    <t>0%-5%</t>
  </si>
  <si>
    <t>סה"כ</t>
  </si>
  <si>
    <t>11%-23%</t>
  </si>
  <si>
    <t xml:space="preserve">*לרבות הלוואות לא סחירות.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</si>
  <si>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</si>
  <si>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</si>
  <si>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אנליסט השתלמות  אג"ח </t>
  </si>
  <si>
    <t>אנליסט גמל מניות</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</si>
  <si>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</si>
  <si>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אנליסט השתלמות מניות</t>
  </si>
  <si>
    <t>מדד MSCI WORLD</t>
  </si>
  <si>
    <t>אנליסט גמל שקלי טווח קצר</t>
  </si>
  <si>
    <r>
      <t>נכ</t>
    </r>
    <r>
      <rPr>
        <sz val="9"/>
        <color indexed="8"/>
        <rFont val="Arial"/>
        <family val="2"/>
      </rPr>
      <t xml:space="preserve">סי המסלול יהיו חשופים לנכסים הבאים, שאינם צמודים: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r>
  </si>
  <si>
    <t>פקדונות</t>
  </si>
  <si>
    <t xml:space="preserve">אנליסט השתלמות שקלי טווח קצר </t>
  </si>
  <si>
    <t>מק"מ</t>
  </si>
  <si>
    <t xml:space="preserve">אג"ח  כללי </t>
  </si>
  <si>
    <t>אנליסט גמל מניות בחו"ל</t>
  </si>
  <si>
    <t xml:space="preserve">אנליסט השתלמות חו"ל </t>
  </si>
  <si>
    <t>אנליסט גמל אג"ח ממשלת ישראל</t>
  </si>
  <si>
    <t xml:space="preserve">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</si>
  <si>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מדד אג"ח ממששלתי כללי</t>
  </si>
  <si>
    <t>אנליסט השתלמות אג"ח ממשלת ישראל</t>
  </si>
  <si>
    <t>אנליסט פיצויים ממשלתי</t>
  </si>
  <si>
    <t>מדד אג"ח ממשלתי כללי לא צמוד מדד 0-2</t>
  </si>
  <si>
    <t>מדד אג"ח ממשלתי צמוד מדד 0-2</t>
  </si>
  <si>
    <t>אנליסט גמל אג"ח</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</si>
  <si>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</si>
  <si>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שהונפקו בישראל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</si>
  <si>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נכסי המסלול יהיו חשופים למניות שנסחרות 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</si>
  <si>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 xml:space="preserve">מדד אג"ח קונצרני כללי: 70%, Barclays Global Aggregate Corporate Bond Index  30%
</t>
  </si>
  <si>
    <t>0%-7%</t>
  </si>
  <si>
    <t>2%-10%</t>
  </si>
  <si>
    <t>45%-55%</t>
  </si>
  <si>
    <t>מדד כללי ממשלתי: 100%</t>
  </si>
  <si>
    <t>29%-41%</t>
  </si>
  <si>
    <t>מדד אג"ח קונצרני כללי: 80%, Barclays Global Aggregate Corporate Bond Index  20%</t>
  </si>
  <si>
    <t>2%-14%</t>
  </si>
  <si>
    <t>אנליסט גמל לבני 50 ומטה</t>
  </si>
  <si>
    <t>אנליסט גמל לבני 50-60</t>
  </si>
  <si>
    <t>אנליסט גמל לבני 60 ומעלה</t>
  </si>
  <si>
    <t>אנליסט פיצויים כללי</t>
  </si>
  <si>
    <t>אנליסט פיצויים עד 10% מניות</t>
  </si>
  <si>
    <t>28%-40%</t>
  </si>
  <si>
    <t>27%-39%</t>
  </si>
  <si>
    <t>25%-35%</t>
  </si>
  <si>
    <t xml:space="preserve">מדד כללי ממשלתי: 100% </t>
  </si>
  <si>
    <t>מדד תל בונד מאגר  75%, barclays capital global credit 25%</t>
  </si>
  <si>
    <t>אנליסט גמל להשקעה כללי</t>
  </si>
  <si>
    <t>אנליסט גמל להשקעה פאסיבי כללי</t>
  </si>
  <si>
    <t>אנליסט גמל להשקעה אג"ח</t>
  </si>
  <si>
    <t>אנליסט גמל להשקעה אג"ח עד 20% מניות</t>
  </si>
  <si>
    <t>אנליסט גמל להשקעה מניות</t>
  </si>
  <si>
    <t xml:space="preserve">אנליסט גמל להשקעה שקלי טווח קצר </t>
  </si>
  <si>
    <t xml:space="preserve">אנליסט גמל להשקעה חו"ל </t>
  </si>
  <si>
    <t>מסלול בו יושקעו לפחות 75% מנכסי המסלול במלוות ממשלתיים קצרי מועד (מק"מ), באגרות חוב שקליות של מדינת ישראל ובאגרות חוב צמודות של מדינת ישראל הצפויות להיפרע בתוך 3 שנים.</t>
  </si>
  <si>
    <t>8%-18%</t>
  </si>
  <si>
    <t>10%-20%</t>
  </si>
  <si>
    <t>28%-38%</t>
  </si>
  <si>
    <t>אנליסט חיסכון לילד- חוסכים המעדיפים סיכון מועט (מ.ה 11365)</t>
  </si>
  <si>
    <t>מדיניות ההשקעה מסתמכת על מדיניות השקעה במסלול קיים: אנליסט מסלולית קופת גמל - מסלול לבני 60 ומעלה מ.ה 9732</t>
  </si>
  <si>
    <t>מדיניות ההשקעה הצפויה של המסלול נתונה לשינוי על פי הוראות הדין</t>
  </si>
  <si>
    <t>אנליסט חיסכון לילד- חוסכים המעדיפים סיכון בינוני (מ.ה 11366)</t>
  </si>
  <si>
    <t>מדיניות ההשקעה מסתמכת על מדיניות השקעה במסלול קיים: אנליסט מסלולית קופת גמל - ישראל מ.ה 811</t>
  </si>
  <si>
    <t xml:space="preserve">שם מסלול </t>
  </si>
  <si>
    <t xml:space="preserve">אנליסט חיסכון לילד- חוסכים המעדיפים סיכון בינוני </t>
  </si>
  <si>
    <t>אנליסט חיסכון לילד- חוסכים המעדיפים סיכון גבוה (מ.ה 11367)</t>
  </si>
  <si>
    <t>מדיניות ההשקעה מסתמכת על מדיניות השקעה במסלול קיים: אנליסט גמל מניות מ.ה 814</t>
  </si>
  <si>
    <t>אנליסט חיסכון לילד- חוסכים המעדיפים סיכון גבוה</t>
  </si>
  <si>
    <t>20%-30%</t>
  </si>
  <si>
    <t>שיעור חשיפה צפוי ל 2018</t>
  </si>
  <si>
    <t>מדד ייחוס 2018</t>
  </si>
  <si>
    <t>26%-38%</t>
  </si>
  <si>
    <t>9%-21%</t>
  </si>
  <si>
    <t>34%-46%</t>
  </si>
  <si>
    <t>38%-50%</t>
  </si>
  <si>
    <t>מדד תא 125 : 45% , מדד MSCI WORLD 55%</t>
  </si>
  <si>
    <t>מדד תא 125 : 50% , מדד MSCI WORLD 50%</t>
  </si>
  <si>
    <t>מדד תא 125 : 50% , ספ 500: 23%, נאסדק 100: 12%, יורו סטוקס 600 : 10%, שווקים מתעוררים: 5%</t>
  </si>
  <si>
    <t>מדד ת"א 125</t>
  </si>
  <si>
    <t>אחר***</t>
  </si>
  <si>
    <t>חשיפה למט"ח****</t>
  </si>
  <si>
    <t xml:space="preserve"> - בבחינת השקעותיה משקללת החברה את ניתוח היבטי הממשל התאגידי בחברות בהן היא משקיעה. כאשר על פי ניתוח זה, או במסגרת הסיקור השוטף של החברה ע"י מחלקת המחקר, תהא אינדיקציה על פי המידע הציבורי הקיים שהתאגיד המסוקר נוקט בחריגה בתחומי האחראיות החברתית, דוגמת ניצול עובדים מחפיר, איכות הסביבה וכו'. יילקח הדבר בחשבון לעניין החלטת ההשקעה בתאגיד זה.</t>
  </si>
  <si>
    <t>לרבות סחורות, קרנות גידור, קרנות השקעה וכל נכס שאינו נכלל באחד האפיקים המוצהרים</t>
  </si>
  <si>
    <t>מזומן ושווה מזומן</t>
  </si>
  <si>
    <t>אחר**</t>
  </si>
  <si>
    <t>חשיפה למט"ח***</t>
  </si>
  <si>
    <t xml:space="preserve">**אחר </t>
  </si>
  <si>
    <t>***לרבות נגזרי מטח</t>
  </si>
  <si>
    <t>מזומן ושווה מזומן**</t>
  </si>
  <si>
    <t xml:space="preserve">***אחר </t>
  </si>
  <si>
    <t>****לרבות נגזרי מטח</t>
  </si>
  <si>
    <t>**החשיפה לאפיקי ההשקעה הינה באמצעות נכסי בסיס וחוזים עתידיים. שיעור המזומן בדוח החשיפה כולל השפעה של הדלתא בגין חוזים אלו.</t>
  </si>
  <si>
    <t>אגח קונצרני (קרנות נאמנות, קרנות סל)*</t>
  </si>
  <si>
    <t>מניות (קרנות סל, אופציות ,קרנות נאמנות)</t>
  </si>
  <si>
    <t>שיעור חשיפה צפוי ל 2019</t>
  </si>
  <si>
    <t>גבולות שיעור החשיפה הצפוי(2018)</t>
  </si>
  <si>
    <t xml:space="preserve">גבולות שיעור החשיפה הצפוי 2019  </t>
  </si>
  <si>
    <t>14%-26%</t>
  </si>
  <si>
    <t>שינוי</t>
  </si>
  <si>
    <t>שיעור חשיפה ליום 20/12/18</t>
  </si>
  <si>
    <t>שיעור חשיפה ליום 31/12/2018</t>
  </si>
  <si>
    <t>שיעור חשיפה ליום 20/12/2018</t>
  </si>
  <si>
    <t>14-26%</t>
  </si>
  <si>
    <t>10%-22%</t>
  </si>
  <si>
    <t>גבולות שיעור החשיפה הצפוי 2018</t>
  </si>
  <si>
    <t>מניות (קרנות סל, אופציות, קרנות נאמנות)</t>
  </si>
  <si>
    <t>7-19%</t>
  </si>
  <si>
    <t>מניות( קרנות סל, אופציות ,קרנות נאמנות)</t>
  </si>
  <si>
    <t>אגח קונצרני (קרנות נאמנות,קרנות סל)*</t>
  </si>
  <si>
    <t>7%-19%</t>
  </si>
  <si>
    <t>מדיניות השקעה 2019</t>
  </si>
  <si>
    <t>מדד ייחוס 2019</t>
  </si>
  <si>
    <t>אחוז רצוי 2019</t>
  </si>
  <si>
    <t>42%-54%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</si>
</sst>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F400]h:mm:ss\ AM/PM"/>
  </numFmts>
  <fonts count="85" x14ac:knownFonts="1">
    <font>
      <sz val="11"/>
      <color theme="1"/>
      <name val="Arial"/>
      <family val="2"/>
      <charset val="177"/>
      <scheme val="minor"/>
    </font>
    <font>
      <sz val="11"/>
      <color indexed="8"/>
      <name val="Arial"/>
      <family val="2"/>
      <charset val="177"/>
    </font>
    <font>
      <b/>
      <sz val="9"/>
      <name val="Arial"/>
      <family val="2"/>
    </font>
    <font>
      <sz val="9"/>
      <name val="Arial"/>
      <family val="2"/>
      <charset val="177"/>
    </font>
    <font>
      <sz val="10"/>
      <name val="Arial"/>
      <family val="2"/>
    </font>
    <font>
      <b/>
      <sz val="12"/>
      <name val="Arial"/>
      <family val="2"/>
    </font>
    <font>
      <sz val="9"/>
      <color indexed="8"/>
      <name val="Arial"/>
      <family val="2"/>
    </font>
    <font>
      <b/>
      <sz val="10"/>
      <name val="Arial"/>
      <family val="2"/>
    </font>
    <font>
      <sz val="11"/>
      <color indexed="9"/>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0"/>
      <name val="Miriam"/>
      <family val="2"/>
      <charset val="177"/>
    </font>
    <font>
      <sz val="10"/>
      <color indexed="8"/>
      <name val="Arial"/>
      <family val="2"/>
      <charset val="177"/>
    </font>
    <font>
      <sz val="9"/>
      <color indexed="8"/>
      <name val="Calibri"/>
      <family val="2"/>
    </font>
    <font>
      <sz val="9"/>
      <color indexed="9"/>
      <name val="Calibri"/>
      <family val="2"/>
    </font>
    <font>
      <sz val="9"/>
      <color indexed="36"/>
      <name val="Calibri"/>
      <family val="2"/>
    </font>
    <font>
      <b/>
      <sz val="9"/>
      <color indexed="43"/>
      <name val="Calibri"/>
      <family val="2"/>
    </font>
    <font>
      <b/>
      <sz val="9"/>
      <color indexed="9"/>
      <name val="Calibri"/>
      <family val="2"/>
    </font>
    <font>
      <i/>
      <sz val="9"/>
      <color indexed="23"/>
      <name val="Calibri"/>
      <family val="2"/>
    </font>
    <font>
      <sz val="9"/>
      <color indexed="17"/>
      <name val="Calibri"/>
      <family val="2"/>
    </font>
    <font>
      <b/>
      <sz val="15"/>
      <color indexed="48"/>
      <name val="Calibri"/>
      <family val="2"/>
    </font>
    <font>
      <b/>
      <sz val="13"/>
      <color indexed="48"/>
      <name val="Calibri"/>
      <family val="2"/>
    </font>
    <font>
      <b/>
      <sz val="11"/>
      <color indexed="48"/>
      <name val="Calibri"/>
      <family val="2"/>
    </font>
    <font>
      <u/>
      <sz val="8.8000000000000007"/>
      <color indexed="12"/>
      <name val="Arial"/>
      <family val="2"/>
    </font>
    <font>
      <sz val="9"/>
      <color indexed="54"/>
      <name val="Calibri"/>
      <family val="2"/>
    </font>
    <font>
      <sz val="9"/>
      <color indexed="43"/>
      <name val="Calibri"/>
      <family val="2"/>
    </font>
    <font>
      <sz val="9"/>
      <color indexed="60"/>
      <name val="Calibri"/>
      <family val="2"/>
    </font>
    <font>
      <b/>
      <sz val="9"/>
      <color indexed="23"/>
      <name val="Calibri"/>
      <family val="2"/>
    </font>
    <font>
      <b/>
      <sz val="18"/>
      <color indexed="48"/>
      <name val="Cambria"/>
      <family val="1"/>
    </font>
    <font>
      <b/>
      <sz val="9"/>
      <color indexed="8"/>
      <name val="Calibri"/>
      <family val="2"/>
    </font>
    <font>
      <sz val="9"/>
      <color indexed="10"/>
      <name val="Calibri"/>
      <family val="2"/>
    </font>
    <font>
      <b/>
      <sz val="11"/>
      <color indexed="9"/>
      <name val="Calibri"/>
      <family val="2"/>
    </font>
    <font>
      <b/>
      <sz val="9"/>
      <name val="Arial"/>
      <family val="2"/>
      <scheme val="minor"/>
    </font>
    <font>
      <sz val="9"/>
      <color theme="1"/>
      <name val="Arial"/>
      <family val="2"/>
    </font>
    <font>
      <b/>
      <sz val="12"/>
      <color rgb="FF1F497D"/>
      <name val="David"/>
      <family val="2"/>
      <charset val="177"/>
    </font>
    <font>
      <b/>
      <sz val="12"/>
      <color theme="0"/>
      <name val="Arial"/>
      <family val="2"/>
      <charset val="177"/>
    </font>
    <font>
      <b/>
      <sz val="10"/>
      <color theme="1"/>
      <name val="Arial"/>
      <family val="2"/>
      <scheme val="minor"/>
    </font>
    <font>
      <sz val="9"/>
      <name val="Arial"/>
      <family val="2"/>
      <scheme val="minor"/>
    </font>
    <font>
      <b/>
      <sz val="11"/>
      <color theme="1"/>
      <name val="Arial"/>
      <family val="2"/>
      <scheme val="minor"/>
    </font>
    <font>
      <b/>
      <sz val="9"/>
      <color theme="1"/>
      <name val="Arial"/>
      <family val="2"/>
      <scheme val="minor"/>
    </font>
    <font>
      <sz val="9"/>
      <color theme="1"/>
      <name val="Arial"/>
      <family val="2"/>
      <scheme val="minor"/>
    </font>
    <font>
      <b/>
      <sz val="11"/>
      <color theme="0"/>
      <name val="Arial"/>
      <family val="2"/>
    </font>
    <font>
      <sz val="11"/>
      <color rgb="FFFA7D00"/>
      <name val="Arial"/>
      <family val="2"/>
      <charset val="177"/>
      <scheme val="minor"/>
    </font>
    <font>
      <b/>
      <sz val="11"/>
      <color theme="0"/>
      <name val="Arial"/>
      <family val="2"/>
      <charset val="177"/>
      <scheme val="minor"/>
    </font>
    <font>
      <sz val="11"/>
      <color rgb="FF9C0006"/>
      <name val="Arial"/>
      <family val="2"/>
      <charset val="177"/>
      <scheme val="minor"/>
    </font>
    <font>
      <sz val="11"/>
      <color rgb="FF3F3F76"/>
      <name val="Arial"/>
      <family val="2"/>
      <charset val="177"/>
      <scheme val="minor"/>
    </font>
    <font>
      <b/>
      <sz val="11"/>
      <color rgb="FF3F3F3F"/>
      <name val="Arial"/>
      <family val="2"/>
      <charset val="177"/>
      <scheme val="minor"/>
    </font>
    <font>
      <sz val="11"/>
      <color rgb="FF9C6500"/>
      <name val="Arial"/>
      <family val="2"/>
      <charset val="177"/>
      <scheme val="minor"/>
    </font>
    <font>
      <sz val="18"/>
      <color theme="3"/>
      <name val="Times New Roman"/>
      <family val="2"/>
      <charset val="177"/>
      <scheme val="major"/>
    </font>
    <font>
      <b/>
      <sz val="18"/>
      <color theme="3"/>
      <name val="Times New Roman"/>
      <family val="2"/>
      <charset val="177"/>
      <scheme val="major"/>
    </font>
    <font>
      <b/>
      <sz val="11"/>
      <color theme="3"/>
      <name val="Arial"/>
      <family val="2"/>
      <charset val="177"/>
      <scheme val="minor"/>
    </font>
    <font>
      <b/>
      <sz val="13"/>
      <color theme="3"/>
      <name val="Arial"/>
      <family val="2"/>
      <charset val="177"/>
      <scheme val="minor"/>
    </font>
    <font>
      <b/>
      <sz val="15"/>
      <color theme="3"/>
      <name val="Arial"/>
      <family val="2"/>
      <charset val="177"/>
      <scheme val="minor"/>
    </font>
    <font>
      <i/>
      <sz val="11"/>
      <color rgb="FF7F7F7F"/>
      <name val="Arial"/>
      <family val="2"/>
      <charset val="177"/>
      <scheme val="minor"/>
    </font>
    <font>
      <sz val="11"/>
      <color rgb="FFFF0000"/>
      <name val="Arial"/>
      <family val="2"/>
      <charset val="177"/>
      <scheme val="minor"/>
    </font>
    <font>
      <sz val="11"/>
      <color rgb="FF006100"/>
      <name val="Arial"/>
      <family val="2"/>
      <charset val="177"/>
      <scheme val="minor"/>
    </font>
    <font>
      <b/>
      <sz val="11"/>
      <color rgb="FFFA7D00"/>
      <name val="Arial"/>
      <family val="2"/>
      <charset val="177"/>
      <scheme val="minor"/>
    </font>
    <font>
      <u/>
      <sz val="11"/>
      <color theme="11"/>
      <name val="Arial"/>
      <family val="2"/>
      <charset val="177"/>
      <scheme val="minor"/>
    </font>
    <font>
      <u/>
      <sz val="11"/>
      <color theme="10"/>
      <name val="Arial"/>
      <family val="2"/>
      <charset val="177"/>
      <scheme val="minor"/>
    </font>
    <font>
      <sz val="11"/>
      <color theme="0"/>
      <name val="Arial"/>
      <family val="2"/>
      <charset val="177"/>
      <scheme val="minor"/>
    </font>
    <font>
      <sz val="10"/>
      <name val="Arial"/>
      <family val="2"/>
      <scheme val="minor"/>
    </font>
    <font>
      <sz val="11"/>
      <color rgb="FF000000"/>
      <name val="Arial"/>
      <family val="2"/>
      <charset val="177"/>
      <scheme val="minor"/>
    </font>
    <font>
      <sz val="10"/>
      <color rgb="FF000000"/>
      <name val="Arial"/>
      <family val="2"/>
    </font>
    <font>
      <sz val="10"/>
      <color theme="1"/>
      <name val="Arial"/>
      <family val="2"/>
      <charset val="177"/>
    </font>
    <font>
      <sz val="11"/>
      <color theme="1"/>
      <name val="Arial"/>
      <family val="2"/>
      <charset val="177"/>
      <scheme val="minor"/>
    </font>
    <font>
      <sz val="9"/>
      <color rgb="FFFF0000"/>
      <name val="Arial"/>
      <family val="2"/>
      <charset val="177"/>
    </font>
    <font>
      <sz val="9"/>
      <color theme="1"/>
      <name val="Arial"/>
      <family val="2"/>
      <charset val="177"/>
      <scheme val="minor"/>
    </font>
    <font>
      <sz val="9"/>
      <color rgb="FFFF0000"/>
      <name val="Arial"/>
      <family val="2"/>
      <charset val="177"/>
      <scheme val="minor"/>
    </font>
    <font>
      <sz val="9"/>
      <name val="Arial"/>
      <family val="2"/>
      <charset val="177"/>
      <scheme val="minor"/>
    </font>
    <font>
      <sz val="9"/>
      <name val="Arial"/>
      <family val="2"/>
    </font>
    <font>
      <sz val="9"/>
      <color rgb="FFFF0000"/>
      <name val="Arial"/>
      <family val="2"/>
    </font>
    <font>
      <sz val="9"/>
      <color rgb="FFFF0000"/>
      <name val="Arial"/>
      <family val="2"/>
      <scheme val="minor"/>
    </font>
  </fonts>
  <fills count="70">
    <fill>
      <patternFill patternType="none"/>
    </fill>
    <fill>
      <patternFill patternType="gray125"/>
    </fill>
    <fill>
      <patternFill patternType="solid">
        <fgColor indexed="31"/>
        <bgColor indexed="64"/>
      </patternFill>
    </fill>
    <fill>
      <patternFill patternType="solid">
        <fgColor indexed="44"/>
        <bgColor indexed="64"/>
      </patternFill>
    </fill>
    <fill>
      <patternFill patternType="solid">
        <fgColor theme="4" tint="0.79995117038483843"/>
        <bgColor indexed="64"/>
      </patternFill>
    </fill>
    <fill>
      <patternFill patternType="solid">
        <fgColor indexed="45"/>
        <bgColor indexed="64"/>
      </patternFill>
    </fill>
    <fill>
      <patternFill patternType="solid">
        <fgColor indexed="63"/>
        <bgColor indexed="64"/>
      </patternFill>
    </fill>
    <fill>
      <patternFill patternType="solid">
        <fgColor theme="5" tint="0.79995117038483843"/>
        <bgColor indexed="64"/>
      </patternFill>
    </fill>
    <fill>
      <patternFill patternType="solid">
        <fgColor indexed="42"/>
        <bgColor indexed="64"/>
      </patternFill>
    </fill>
    <fill>
      <patternFill patternType="solid">
        <fgColor theme="6" tint="0.79995117038483843"/>
        <bgColor indexed="64"/>
      </patternFill>
    </fill>
    <fill>
      <patternFill patternType="solid">
        <fgColor indexed="46"/>
        <bgColor indexed="64"/>
      </patternFill>
    </fill>
    <fill>
      <patternFill patternType="solid">
        <fgColor indexed="55"/>
        <bgColor indexed="64"/>
      </patternFill>
    </fill>
    <fill>
      <patternFill patternType="solid">
        <fgColor theme="7" tint="0.79995117038483843"/>
        <bgColor indexed="64"/>
      </patternFill>
    </fill>
    <fill>
      <patternFill patternType="solid">
        <fgColor indexed="27"/>
        <bgColor indexed="64"/>
      </patternFill>
    </fill>
    <fill>
      <patternFill patternType="solid">
        <fgColor theme="8" tint="0.79995117038483843"/>
        <bgColor indexed="64"/>
      </patternFill>
    </fill>
    <fill>
      <patternFill patternType="solid">
        <fgColor indexed="47"/>
        <bgColor indexed="64"/>
      </patternFill>
    </fill>
    <fill>
      <patternFill patternType="solid">
        <fgColor theme="9" tint="0.79995117038483843"/>
        <bgColor indexed="64"/>
      </patternFill>
    </fill>
    <fill>
      <patternFill patternType="solid">
        <fgColor indexed="40"/>
        <bgColor indexed="64"/>
      </patternFill>
    </fill>
    <fill>
      <patternFill patternType="solid">
        <fgColor theme="4" tint="0.59996337778862885"/>
        <bgColor indexed="64"/>
      </patternFill>
    </fill>
    <fill>
      <patternFill patternType="solid">
        <fgColor indexed="29"/>
        <bgColor indexed="64"/>
      </patternFill>
    </fill>
    <fill>
      <patternFill patternType="solid">
        <fgColor indexed="62"/>
        <bgColor indexed="64"/>
      </patternFill>
    </fill>
    <fill>
      <patternFill patternType="solid">
        <fgColor theme="5" tint="0.59996337778862885"/>
        <bgColor indexed="64"/>
      </patternFill>
    </fill>
    <fill>
      <patternFill patternType="solid">
        <fgColor indexed="11"/>
        <bgColor indexed="64"/>
      </patternFill>
    </fill>
    <fill>
      <patternFill patternType="solid">
        <fgColor theme="6" tint="0.59996337778862885"/>
        <bgColor indexed="64"/>
      </patternFill>
    </fill>
    <fill>
      <patternFill patternType="solid">
        <fgColor theme="7" tint="0.59996337778862885"/>
        <bgColor indexed="64"/>
      </patternFill>
    </fill>
    <fill>
      <patternFill patternType="solid">
        <fgColor theme="8" tint="0.59996337778862885"/>
        <bgColor indexed="64"/>
      </patternFill>
    </fill>
    <fill>
      <patternFill patternType="solid">
        <fgColor indexed="51"/>
        <bgColor indexed="64"/>
      </patternFill>
    </fill>
    <fill>
      <patternFill patternType="solid">
        <fgColor theme="9" tint="0.59996337778862885"/>
        <bgColor indexed="64"/>
      </patternFill>
    </fill>
    <fill>
      <patternFill patternType="solid">
        <fgColor indexed="30"/>
        <bgColor indexed="64"/>
      </patternFill>
    </fill>
    <fill>
      <patternFill patternType="solid">
        <fgColor theme="4" tint="0.39997558519241921"/>
        <bgColor indexed="64"/>
      </patternFill>
    </fill>
    <fill>
      <patternFill patternType="solid">
        <fgColor indexed="14"/>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indexed="36"/>
        <bgColor indexed="64"/>
      </patternFill>
    </fill>
    <fill>
      <patternFill patternType="solid">
        <fgColor indexed="54"/>
        <bgColor indexed="64"/>
      </patternFill>
    </fill>
    <fill>
      <patternFill patternType="solid">
        <fgColor theme="7" tint="0.39997558519241921"/>
        <bgColor indexed="64"/>
      </patternFill>
    </fill>
    <fill>
      <patternFill patternType="solid">
        <fgColor indexed="49"/>
        <bgColor indexed="64"/>
      </patternFill>
    </fill>
    <fill>
      <patternFill patternType="solid">
        <fgColor theme="8" tint="0.39997558519241921"/>
        <bgColor indexed="64"/>
      </patternFill>
    </fill>
    <fill>
      <patternFill patternType="solid">
        <fgColor indexed="52"/>
        <bgColor indexed="64"/>
      </patternFill>
    </fill>
    <fill>
      <patternFill patternType="solid">
        <fgColor theme="9" tint="0.39997558519241921"/>
        <bgColor indexed="64"/>
      </patternFill>
    </fill>
    <fill>
      <patternFill patternType="solid">
        <fgColor indexed="48"/>
        <bgColor indexed="64"/>
      </patternFill>
    </fill>
    <fill>
      <patternFill patternType="solid">
        <fgColor theme="4"/>
        <bgColor indexed="64"/>
      </patternFill>
    </fill>
    <fill>
      <patternFill patternType="solid">
        <fgColor indexed="10"/>
        <bgColor indexed="64"/>
      </patternFill>
    </fill>
    <fill>
      <patternFill patternType="solid">
        <fgColor theme="5"/>
        <bgColor indexed="64"/>
      </patternFill>
    </fill>
    <fill>
      <patternFill patternType="solid">
        <fgColor indexed="57"/>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indexed="53"/>
        <bgColor indexed="64"/>
      </patternFill>
    </fill>
    <fill>
      <patternFill patternType="solid">
        <fgColor indexed="18"/>
        <bgColor indexed="64"/>
      </patternFill>
    </fill>
    <fill>
      <patternFill patternType="solid">
        <fgColor theme="9"/>
        <bgColor indexed="64"/>
      </patternFill>
    </fill>
    <fill>
      <patternFill patternType="solid">
        <fgColor rgb="FFFFC7CE"/>
        <bgColor indexed="64"/>
      </patternFill>
    </fill>
    <fill>
      <patternFill patternType="solid">
        <fgColor rgb="FF4F81BD"/>
        <bgColor indexed="64"/>
      </patternFill>
    </fill>
    <fill>
      <patternFill patternType="solid">
        <fgColor indexed="22"/>
        <bgColor indexed="64"/>
      </patternFill>
    </fill>
    <fill>
      <patternFill patternType="solid">
        <fgColor rgb="FFF2F2F2"/>
        <bgColor indexed="64"/>
      </patternFill>
    </fill>
    <fill>
      <patternFill patternType="solid">
        <fgColor indexed="23"/>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indexed="43"/>
        <bgColor indexed="64"/>
      </patternFill>
    </fill>
    <fill>
      <patternFill patternType="solid">
        <fgColor rgb="FFFFEB9C"/>
        <bgColor indexed="64"/>
      </patternFill>
    </fill>
    <fill>
      <patternFill patternType="solid">
        <fgColor indexed="26"/>
        <bgColor indexed="64"/>
      </patternFill>
    </fill>
    <fill>
      <patternFill patternType="solid">
        <fgColor rgb="FFFFFFCC"/>
        <bgColor indexed="64"/>
      </patternFill>
    </fill>
    <fill>
      <patternFill patternType="solid">
        <fgColor theme="4" tint="-0.49995422223578601"/>
        <bgColor indexed="64"/>
      </patternFill>
    </fill>
    <fill>
      <patternFill patternType="solid">
        <fgColor theme="0" tint="-0.14996795556505021"/>
        <bgColor indexed="64"/>
      </patternFill>
    </fill>
    <fill>
      <patternFill patternType="solid">
        <fgColor theme="0" tint="-0.34995574816125979"/>
        <bgColor indexed="64"/>
      </patternFill>
    </fill>
    <fill>
      <patternFill patternType="solid">
        <fgColor rgb="FFFFFF00"/>
        <bgColor indexed="64"/>
      </patternFill>
    </fill>
    <fill>
      <patternFill patternType="solid">
        <fgColor rgb="FF00B0F0"/>
        <bgColor indexed="64"/>
      </patternFill>
    </fill>
    <fill>
      <patternFill patternType="solid">
        <fgColor theme="4" tint="-0.499984740745262"/>
        <bgColor indexed="64"/>
      </patternFill>
    </fill>
    <fill>
      <patternFill patternType="solid">
        <fgColor theme="0" tint="-0.14999847407452621"/>
        <bgColor indexed="64"/>
      </patternFill>
    </fill>
  </fills>
  <borders count="58">
    <border>
      <left/>
      <right/>
      <top/>
      <bottom/>
      <diagonal/>
    </border>
    <border>
      <left style="thin">
        <color indexed="23"/>
      </left>
      <right style="thin">
        <color indexed="23"/>
      </right>
      <top style="thin">
        <color indexed="23"/>
      </top>
      <bottom style="thin">
        <color indexed="23"/>
      </bottom>
      <diagonal/>
    </border>
    <border>
      <left style="thin">
        <color rgb="FF7F7F7F"/>
      </left>
      <right style="thin">
        <color rgb="FF7F7F7F"/>
      </right>
      <top style="thin">
        <color rgb="FF7F7F7F"/>
      </top>
      <bottom style="thin">
        <color rgb="FF7F7F7F"/>
      </bottom>
      <diagonal/>
    </border>
    <border>
      <left style="double">
        <color indexed="63"/>
      </left>
      <right style="double">
        <color indexed="63"/>
      </right>
      <top style="double">
        <color indexed="63"/>
      </top>
      <bottom style="double">
        <color indexed="63"/>
      </bottom>
      <diagonal/>
    </border>
    <border>
      <left style="double">
        <color indexed="23"/>
      </left>
      <right style="double">
        <color indexed="23"/>
      </right>
      <top style="double">
        <color indexed="23"/>
      </top>
      <bottom style="double">
        <color indexed="23"/>
      </bottom>
      <diagonal/>
    </border>
    <border>
      <left style="double">
        <color rgb="FF3F3F3F"/>
      </left>
      <right style="double">
        <color rgb="FF3F3F3F"/>
      </right>
      <top style="double">
        <color rgb="FF3F3F3F"/>
      </top>
      <bottom style="double">
        <color rgb="FF3F3F3F"/>
      </bottom>
      <diagonal/>
    </border>
    <border>
      <left/>
      <right/>
      <top/>
      <bottom style="thick">
        <color indexed="62"/>
      </bottom>
      <diagonal/>
    </border>
    <border>
      <left/>
      <right/>
      <top/>
      <bottom style="thick">
        <color indexed="48"/>
      </bottom>
      <diagonal/>
    </border>
    <border>
      <left/>
      <right/>
      <top/>
      <bottom style="thick">
        <color theme="4"/>
      </bottom>
      <diagonal/>
    </border>
    <border>
      <left/>
      <right/>
      <top/>
      <bottom style="thick">
        <color indexed="22"/>
      </bottom>
      <diagonal/>
    </border>
    <border>
      <left/>
      <right/>
      <top/>
      <bottom style="thick">
        <color indexed="40"/>
      </bottom>
      <diagonal/>
    </border>
    <border>
      <left/>
      <right/>
      <top/>
      <bottom style="thick">
        <color theme="4" tint="0.49995422223578601"/>
      </bottom>
      <diagonal/>
    </border>
    <border>
      <left/>
      <right/>
      <top/>
      <bottom style="medium">
        <color indexed="30"/>
      </bottom>
      <diagonal/>
    </border>
    <border>
      <left/>
      <right/>
      <top/>
      <bottom style="medium">
        <color indexed="40"/>
      </bottom>
      <diagonal/>
    </border>
    <border>
      <left/>
      <right/>
      <top/>
      <bottom style="medium">
        <color theme="4" tint="0.39997558519241921"/>
      </bottom>
      <diagonal/>
    </border>
    <border>
      <left/>
      <right/>
      <top/>
      <bottom style="double">
        <color indexed="52"/>
      </bottom>
      <diagonal/>
    </border>
    <border>
      <left/>
      <right/>
      <top/>
      <bottom style="double">
        <color indexed="43"/>
      </bottom>
      <diagonal/>
    </border>
    <border>
      <left/>
      <right/>
      <top/>
      <bottom style="double">
        <color rgb="FFFF8001"/>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rgb="FFB2B2B2"/>
      </left>
      <right style="thin">
        <color rgb="FFB2B2B2"/>
      </right>
      <top style="thin">
        <color rgb="FFB2B2B2"/>
      </top>
      <bottom style="thin">
        <color rgb="FFB2B2B2"/>
      </bottom>
      <diagonal/>
    </border>
    <border>
      <left style="thin">
        <color indexed="63"/>
      </left>
      <right style="thin">
        <color indexed="63"/>
      </right>
      <top style="thin">
        <color indexed="63"/>
      </top>
      <bottom style="thin">
        <color indexed="63"/>
      </bottom>
      <diagonal/>
    </border>
    <border>
      <left style="thin">
        <color rgb="FF3F3F3F"/>
      </left>
      <right style="thin">
        <color rgb="FF3F3F3F"/>
      </right>
      <top style="thin">
        <color rgb="FF3F3F3F"/>
      </top>
      <bottom style="thin">
        <color rgb="FF3F3F3F"/>
      </bottom>
      <diagonal/>
    </border>
    <border>
      <left/>
      <right/>
      <top style="thin">
        <color indexed="62"/>
      </top>
      <bottom style="double">
        <color indexed="62"/>
      </bottom>
      <diagonal/>
    </border>
    <border>
      <left/>
      <right/>
      <top style="thin">
        <color indexed="48"/>
      </top>
      <bottom style="double">
        <color indexed="48"/>
      </bottom>
      <diagonal/>
    </border>
    <border>
      <left/>
      <right/>
      <top style="thin">
        <color theme="4"/>
      </top>
      <bottom style="double">
        <color theme="4"/>
      </bottom>
      <diagonal/>
    </border>
    <border>
      <left style="medium">
        <color theme="0"/>
      </left>
      <right/>
      <top style="medium">
        <color theme="0"/>
      </top>
      <bottom/>
      <diagonal/>
    </border>
    <border>
      <left style="medium">
        <color auto="1"/>
      </left>
      <right style="medium">
        <color auto="1"/>
      </right>
      <top style="medium">
        <color auto="1"/>
      </top>
      <bottom/>
      <diagonal/>
    </border>
    <border>
      <left/>
      <right/>
      <top style="medium">
        <color auto="1"/>
      </top>
      <bottom style="thin">
        <color auto="1"/>
      </bottom>
      <diagonal/>
    </border>
    <border>
      <left/>
      <right/>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theme="0"/>
      </top>
      <bottom style="medium">
        <color theme="0"/>
      </bottom>
      <diagonal/>
    </border>
    <border>
      <left/>
      <right/>
      <top style="medium">
        <color auto="1"/>
      </top>
      <bottom/>
      <diagonal/>
    </border>
    <border>
      <left style="medium">
        <color theme="0"/>
      </left>
      <right style="medium">
        <color theme="0"/>
      </right>
      <top style="medium">
        <color theme="0"/>
      </top>
      <bottom style="medium">
        <color theme="0"/>
      </bottom>
      <diagonal/>
    </border>
    <border>
      <left/>
      <right/>
      <top style="medium">
        <color theme="0"/>
      </top>
      <bottom style="medium">
        <color auto="1"/>
      </bottom>
      <diagonal/>
    </border>
    <border>
      <left style="medium">
        <color auto="1"/>
      </left>
      <right style="medium">
        <color auto="1"/>
      </right>
      <top style="medium">
        <color theme="0"/>
      </top>
      <bottom style="medium">
        <color auto="1"/>
      </bottom>
      <diagonal/>
    </border>
    <border>
      <left/>
      <right style="medium">
        <color auto="1"/>
      </right>
      <top/>
      <bottom style="medium">
        <color auto="1"/>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auto="1"/>
      </left>
      <right style="medium">
        <color auto="1"/>
      </right>
      <top style="medium">
        <color auto="1"/>
      </top>
      <bottom style="medium">
        <color theme="0"/>
      </bottom>
      <diagonal/>
    </border>
    <border>
      <left style="medium">
        <color auto="1"/>
      </left>
      <right style="thin">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theme="0"/>
      </left>
      <right style="medium">
        <color theme="0"/>
      </right>
      <top/>
      <bottom style="medium">
        <color theme="0"/>
      </bottom>
      <diagonal/>
    </border>
    <border>
      <left style="medium">
        <color auto="1"/>
      </left>
      <right style="medium">
        <color auto="1"/>
      </right>
      <top style="medium">
        <color theme="0"/>
      </top>
      <bottom/>
      <diagonal/>
    </border>
    <border>
      <left style="thin">
        <color auto="1"/>
      </left>
      <right/>
      <top style="medium">
        <color auto="1"/>
      </top>
      <bottom style="medium">
        <color auto="1"/>
      </bottom>
      <diagonal/>
    </border>
    <border>
      <left style="medium">
        <color theme="0"/>
      </left>
      <right style="medium">
        <color theme="0"/>
      </right>
      <top style="medium">
        <color theme="0"/>
      </top>
      <bottom/>
      <diagonal/>
    </border>
    <border>
      <left/>
      <right/>
      <top style="medium">
        <color theme="0"/>
      </top>
      <bottom/>
      <diagonal/>
    </border>
    <border>
      <left/>
      <right style="medium">
        <color theme="0"/>
      </right>
      <top style="medium">
        <color theme="0"/>
      </top>
      <bottom/>
      <diagonal/>
    </border>
    <border>
      <left/>
      <right/>
      <top/>
      <bottom style="medium">
        <color theme="0"/>
      </bottom>
      <diagonal/>
    </border>
    <border>
      <left/>
      <right style="medium">
        <color theme="0"/>
      </right>
      <top/>
      <bottom style="medium">
        <color theme="0"/>
      </bottom>
      <diagonal/>
    </border>
    <border>
      <left style="medium">
        <color theme="0"/>
      </left>
      <right/>
      <top/>
      <bottom style="medium">
        <color theme="0"/>
      </bottom>
      <diagonal/>
    </border>
    <border>
      <left style="medium">
        <color theme="0"/>
      </left>
      <right style="medium">
        <color theme="0"/>
      </right>
      <top/>
      <bottom/>
      <diagonal/>
    </border>
  </borders>
  <cellStyleXfs count="1039">
    <xf numFmtId="0" fontId="0" fillId="0" borderId="0"/>
    <xf numFmtId="0" fontId="1" fillId="2" borderId="0" applyNumberFormat="0" applyBorder="0" applyAlignment="0" applyProtection="0"/>
    <xf numFmtId="0" fontId="1" fillId="2" borderId="0" applyNumberFormat="0" applyBorder="0" applyAlignment="0" applyProtection="0"/>
    <xf numFmtId="0" fontId="26" fillId="3"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77"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26" fillId="6"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77"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26"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77"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6" fillId="1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77"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26" fillId="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77" fillId="14"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6" fillId="6"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77" fillId="16"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9"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26" fillId="17"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77" fillId="18"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6" fillId="20"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77" fillId="2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26"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77" fillId="23"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6" fillId="1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77" fillId="24"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26" fillId="17"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77"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26" fillId="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77" fillId="27"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1"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3"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4"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5"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77" fillId="27"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27" fillId="17"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72" fillId="2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27" fillId="30"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72" fillId="31"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27"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72" fillId="32" borderId="0" applyNumberFormat="0" applyBorder="0" applyAlignment="0" applyProtection="0"/>
    <xf numFmtId="0" fontId="8" fillId="33" borderId="0" applyNumberFormat="0" applyBorder="0" applyAlignment="0" applyProtection="0"/>
    <xf numFmtId="0" fontId="8" fillId="33" borderId="0" applyNumberFormat="0" applyBorder="0" applyAlignment="0" applyProtection="0"/>
    <xf numFmtId="0" fontId="27" fillId="34" borderId="0" applyNumberFormat="0" applyBorder="0" applyAlignment="0" applyProtection="0"/>
    <xf numFmtId="0" fontId="8" fillId="33" borderId="0" applyNumberFormat="0" applyBorder="0" applyAlignment="0" applyProtection="0"/>
    <xf numFmtId="0" fontId="8" fillId="33" borderId="0" applyNumberFormat="0" applyBorder="0" applyAlignment="0" applyProtection="0"/>
    <xf numFmtId="0" fontId="72" fillId="35"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27" fillId="17"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72" fillId="37"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27" fillId="20"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72" fillId="39" borderId="0" applyNumberFormat="0" applyBorder="0" applyAlignment="0" applyProtection="0"/>
    <xf numFmtId="0" fontId="72" fillId="29" borderId="0" applyNumberFormat="0" applyBorder="0" applyAlignment="0" applyProtection="0"/>
    <xf numFmtId="0" fontId="72" fillId="29" borderId="0" applyNumberFormat="0" applyBorder="0" applyAlignment="0" applyProtection="0"/>
    <xf numFmtId="0" fontId="72" fillId="31" borderId="0" applyNumberFormat="0" applyBorder="0" applyAlignment="0" applyProtection="0"/>
    <xf numFmtId="0" fontId="72" fillId="31" borderId="0" applyNumberFormat="0" applyBorder="0" applyAlignment="0" applyProtection="0"/>
    <xf numFmtId="0" fontId="72" fillId="32" borderId="0" applyNumberFormat="0" applyBorder="0" applyAlignment="0" applyProtection="0"/>
    <xf numFmtId="0" fontId="72" fillId="32" borderId="0" applyNumberFormat="0" applyBorder="0" applyAlignment="0" applyProtection="0"/>
    <xf numFmtId="0" fontId="72" fillId="35" borderId="0" applyNumberFormat="0" applyBorder="0" applyAlignment="0" applyProtection="0"/>
    <xf numFmtId="0" fontId="72" fillId="35" borderId="0" applyNumberFormat="0" applyBorder="0" applyAlignment="0" applyProtection="0"/>
    <xf numFmtId="0" fontId="72" fillId="37" borderId="0" applyNumberFormat="0" applyBorder="0" applyAlignment="0" applyProtection="0"/>
    <xf numFmtId="0" fontId="72" fillId="37" borderId="0" applyNumberFormat="0" applyBorder="0" applyAlignment="0" applyProtection="0"/>
    <xf numFmtId="0" fontId="72" fillId="39" borderId="0" applyNumberFormat="0" applyBorder="0" applyAlignment="0" applyProtection="0"/>
    <xf numFmtId="0" fontId="72" fillId="39"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27" fillId="40"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72" fillId="41"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27" fillId="30"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72" fillId="43"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27"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72" fillId="45" borderId="0" applyNumberFormat="0" applyBorder="0" applyAlignment="0" applyProtection="0"/>
    <xf numFmtId="0" fontId="8" fillId="33" borderId="0" applyNumberFormat="0" applyBorder="0" applyAlignment="0" applyProtection="0"/>
    <xf numFmtId="0" fontId="8" fillId="33" borderId="0" applyNumberFormat="0" applyBorder="0" applyAlignment="0" applyProtection="0"/>
    <xf numFmtId="0" fontId="27" fillId="34" borderId="0" applyNumberFormat="0" applyBorder="0" applyAlignment="0" applyProtection="0"/>
    <xf numFmtId="0" fontId="8" fillId="33" borderId="0" applyNumberFormat="0" applyBorder="0" applyAlignment="0" applyProtection="0"/>
    <xf numFmtId="0" fontId="8" fillId="33" borderId="0" applyNumberFormat="0" applyBorder="0" applyAlignment="0" applyProtection="0"/>
    <xf numFmtId="0" fontId="72" fillId="4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27"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72" fillId="47"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27" fillId="49"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72" fillId="50" borderId="0" applyNumberFormat="0" applyBorder="0" applyAlignment="0" applyProtection="0"/>
    <xf numFmtId="0" fontId="21" fillId="5" borderId="0" applyNumberFormat="0" applyBorder="0" applyAlignment="0" applyProtection="0"/>
    <xf numFmtId="0" fontId="21" fillId="5" borderId="0" applyNumberFormat="0" applyBorder="0" applyAlignment="0" applyProtection="0"/>
    <xf numFmtId="0" fontId="28" fillId="5" borderId="0" applyNumberFormat="0" applyBorder="0" applyAlignment="0" applyProtection="0"/>
    <xf numFmtId="0" fontId="21" fillId="5" borderId="0" applyNumberFormat="0" applyBorder="0" applyAlignment="0" applyProtection="0"/>
    <xf numFmtId="0" fontId="21" fillId="5" borderId="0" applyNumberFormat="0" applyBorder="0" applyAlignment="0" applyProtection="0"/>
    <xf numFmtId="0" fontId="57" fillId="51" borderId="0" applyNumberFormat="0" applyBorder="0" applyAlignment="0" applyProtection="0"/>
    <xf numFmtId="0" fontId="44" fillId="52" borderId="0"/>
    <xf numFmtId="0" fontId="9" fillId="53" borderId="1" applyNumberFormat="0" applyAlignment="0" applyProtection="0"/>
    <xf numFmtId="0" fontId="9" fillId="53" borderId="1" applyNumberFormat="0" applyAlignment="0" applyProtection="0"/>
    <xf numFmtId="0" fontId="29" fillId="53" borderId="1" applyNumberFormat="0" applyAlignment="0" applyProtection="0"/>
    <xf numFmtId="0" fontId="9" fillId="53" borderId="1" applyNumberFormat="0" applyAlignment="0" applyProtection="0"/>
    <xf numFmtId="0" fontId="9" fillId="53" borderId="1" applyNumberFormat="0" applyAlignment="0" applyProtection="0"/>
    <xf numFmtId="0" fontId="69" fillId="54" borderId="2" applyNumberFormat="0" applyAlignment="0" applyProtection="0"/>
    <xf numFmtId="0" fontId="22" fillId="11" borderId="3" applyNumberFormat="0" applyAlignment="0" applyProtection="0"/>
    <xf numFmtId="0" fontId="22" fillId="11" borderId="3" applyNumberFormat="0" applyAlignment="0" applyProtection="0"/>
    <xf numFmtId="0" fontId="30" fillId="55" borderId="4" applyNumberFormat="0" applyAlignment="0" applyProtection="0"/>
    <xf numFmtId="0" fontId="22" fillId="11" borderId="3" applyNumberFormat="0" applyAlignment="0" applyProtection="0"/>
    <xf numFmtId="0" fontId="22" fillId="11" borderId="3" applyNumberFormat="0" applyAlignment="0" applyProtection="0"/>
    <xf numFmtId="0" fontId="56" fillId="56" borderId="5" applyNumberFormat="0" applyAlignment="0" applyProtection="0"/>
    <xf numFmtId="43" fontId="77" fillId="0" borderId="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4" fillId="0" borderId="0" applyFont="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4" fillId="0" borderId="0" applyFont="0" applyFill="0" applyBorder="0" applyAlignment="0" applyProtection="0"/>
    <xf numFmtId="43" fontId="73" fillId="0" borderId="0" applyFill="0" applyBorder="0" applyAlignment="0" applyProtection="0"/>
    <xf numFmtId="43" fontId="73" fillId="0" borderId="0" applyFill="0" applyBorder="0" applyAlignment="0" applyProtection="0"/>
    <xf numFmtId="43" fontId="77"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7" fillId="0" borderId="0" applyFill="0" applyBorder="0" applyAlignment="0" applyProtection="0"/>
    <xf numFmtId="43" fontId="73" fillId="0" borderId="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77" fillId="0" borderId="0" applyFill="0" applyBorder="0" applyAlignment="0" applyProtection="0"/>
    <xf numFmtId="43" fontId="1" fillId="0" borderId="0" applyFont="0" applyFill="0" applyBorder="0" applyAlignment="0" applyProtection="0"/>
    <xf numFmtId="43" fontId="77"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3" fillId="0" borderId="0" applyFill="0" applyBorder="0" applyAlignment="0" applyProtection="0"/>
    <xf numFmtId="43" fontId="77" fillId="0" borderId="0" applyFill="0" applyBorder="0" applyAlignment="0" applyProtection="0"/>
    <xf numFmtId="43" fontId="1" fillId="0" borderId="0" applyFont="0" applyFill="0" applyBorder="0" applyAlignment="0" applyProtection="0"/>
    <xf numFmtId="43" fontId="73"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7"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77" fillId="0" borderId="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77" fillId="0" borderId="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31"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66" fillId="0" borderId="0" applyNumberFormat="0" applyFill="0" applyBorder="0" applyAlignment="0" applyProtection="0"/>
    <xf numFmtId="0" fontId="10" fillId="8" borderId="0" applyNumberFormat="0" applyBorder="0" applyAlignment="0" applyProtection="0"/>
    <xf numFmtId="0" fontId="10" fillId="8" borderId="0" applyNumberFormat="0" applyBorder="0" applyAlignment="0" applyProtection="0"/>
    <xf numFmtId="0" fontId="32" fillId="22"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68" fillId="57" borderId="0" applyNumberFormat="0" applyBorder="0" applyAlignment="0" applyProtection="0"/>
    <xf numFmtId="0" fontId="14" fillId="0" borderId="6" applyNumberFormat="0" applyFill="0" applyAlignment="0" applyProtection="0"/>
    <xf numFmtId="0" fontId="14" fillId="0" borderId="6" applyNumberFormat="0" applyFill="0" applyAlignment="0" applyProtection="0"/>
    <xf numFmtId="0" fontId="33" fillId="0" borderId="7"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65" fillId="0" borderId="8" applyNumberFormat="0" applyFill="0" applyAlignment="0" applyProtection="0"/>
    <xf numFmtId="0" fontId="15" fillId="0" borderId="9" applyNumberFormat="0" applyFill="0" applyAlignment="0" applyProtection="0"/>
    <xf numFmtId="0" fontId="15" fillId="0" borderId="9" applyNumberFormat="0" applyFill="0" applyAlignment="0" applyProtection="0"/>
    <xf numFmtId="0" fontId="34" fillId="0" borderId="10" applyNumberFormat="0" applyFill="0" applyAlignment="0" applyProtection="0"/>
    <xf numFmtId="0" fontId="15" fillId="0" borderId="9" applyNumberFormat="0" applyFill="0" applyAlignment="0" applyProtection="0"/>
    <xf numFmtId="0" fontId="15" fillId="0" borderId="9" applyNumberFormat="0" applyFill="0" applyAlignment="0" applyProtection="0"/>
    <xf numFmtId="0" fontId="64" fillId="0" borderId="11" applyNumberFormat="0" applyFill="0" applyAlignment="0" applyProtection="0"/>
    <xf numFmtId="0" fontId="16" fillId="0" borderId="12" applyNumberFormat="0" applyFill="0" applyAlignment="0" applyProtection="0"/>
    <xf numFmtId="0" fontId="16" fillId="0" borderId="12" applyNumberFormat="0" applyFill="0" applyAlignment="0" applyProtection="0"/>
    <xf numFmtId="0" fontId="35" fillId="0" borderId="13" applyNumberFormat="0" applyFill="0" applyAlignment="0" applyProtection="0"/>
    <xf numFmtId="0" fontId="16" fillId="0" borderId="12" applyNumberFormat="0" applyFill="0" applyAlignment="0" applyProtection="0"/>
    <xf numFmtId="0" fontId="16" fillId="0" borderId="12" applyNumberFormat="0" applyFill="0" applyAlignment="0" applyProtection="0"/>
    <xf numFmtId="0" fontId="63" fillId="0" borderId="14"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35"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63" fillId="0" borderId="0" applyNumberFormat="0" applyFill="0" applyBorder="0" applyAlignment="0" applyProtection="0"/>
    <xf numFmtId="0" fontId="36" fillId="0" borderId="0" applyNumberFormat="0" applyFill="0" applyBorder="0" applyAlignment="0" applyProtection="0"/>
    <xf numFmtId="0" fontId="20" fillId="15" borderId="1" applyNumberFormat="0" applyAlignment="0" applyProtection="0"/>
    <xf numFmtId="0" fontId="20" fillId="15" borderId="1" applyNumberFormat="0" applyAlignment="0" applyProtection="0"/>
    <xf numFmtId="0" fontId="37" fillId="15" borderId="1" applyNumberFormat="0" applyAlignment="0" applyProtection="0"/>
    <xf numFmtId="0" fontId="20" fillId="15" borderId="1" applyNumberFormat="0" applyAlignment="0" applyProtection="0"/>
    <xf numFmtId="0" fontId="20" fillId="15" borderId="1" applyNumberFormat="0" applyAlignment="0" applyProtection="0"/>
    <xf numFmtId="0" fontId="58" fillId="58" borderId="2" applyNumberFormat="0" applyAlignment="0" applyProtection="0"/>
    <xf numFmtId="0" fontId="23" fillId="0" borderId="15" applyNumberFormat="0" applyFill="0" applyAlignment="0" applyProtection="0"/>
    <xf numFmtId="0" fontId="23" fillId="0" borderId="15" applyNumberFormat="0" applyFill="0" applyAlignment="0" applyProtection="0"/>
    <xf numFmtId="0" fontId="38" fillId="0" borderId="16" applyNumberFormat="0" applyFill="0" applyAlignment="0" applyProtection="0"/>
    <xf numFmtId="0" fontId="23" fillId="0" borderId="15" applyNumberFormat="0" applyFill="0" applyAlignment="0" applyProtection="0"/>
    <xf numFmtId="0" fontId="23" fillId="0" borderId="15" applyNumberFormat="0" applyFill="0" applyAlignment="0" applyProtection="0"/>
    <xf numFmtId="0" fontId="55" fillId="0" borderId="17" applyNumberFormat="0" applyFill="0" applyAlignment="0" applyProtection="0"/>
    <xf numFmtId="0" fontId="17" fillId="59" borderId="0" applyNumberFormat="0" applyBorder="0" applyAlignment="0" applyProtection="0"/>
    <xf numFmtId="0" fontId="17" fillId="59" borderId="0" applyNumberFormat="0" applyBorder="0" applyAlignment="0" applyProtection="0"/>
    <xf numFmtId="0" fontId="39" fillId="15"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60" fillId="60" borderId="0" applyNumberFormat="0" applyBorder="0" applyAlignment="0" applyProtection="0"/>
    <xf numFmtId="0" fontId="73" fillId="0" borderId="0"/>
    <xf numFmtId="0" fontId="73" fillId="0" borderId="0"/>
    <xf numFmtId="0" fontId="73" fillId="0" borderId="0"/>
    <xf numFmtId="0" fontId="73" fillId="0" borderId="0"/>
    <xf numFmtId="0" fontId="4" fillId="0" borderId="0"/>
    <xf numFmtId="0" fontId="77" fillId="0" borderId="0"/>
    <xf numFmtId="0" fontId="73" fillId="0" borderId="0"/>
    <xf numFmtId="0" fontId="77" fillId="0" borderId="0"/>
    <xf numFmtId="0" fontId="73" fillId="0" borderId="0"/>
    <xf numFmtId="0" fontId="73" fillId="0" borderId="0"/>
    <xf numFmtId="0" fontId="73" fillId="0" borderId="0"/>
    <xf numFmtId="0" fontId="73" fillId="0" borderId="0"/>
    <xf numFmtId="0" fontId="4" fillId="0" borderId="0"/>
    <xf numFmtId="0" fontId="73" fillId="0" borderId="0"/>
    <xf numFmtId="0" fontId="77" fillId="0" borderId="0"/>
    <xf numFmtId="0" fontId="73" fillId="0" borderId="0"/>
    <xf numFmtId="0" fontId="73" fillId="0" borderId="0"/>
    <xf numFmtId="0" fontId="77" fillId="0" borderId="0"/>
    <xf numFmtId="0" fontId="77" fillId="0" borderId="0"/>
    <xf numFmtId="0" fontId="77" fillId="0" borderId="0"/>
    <xf numFmtId="0" fontId="4" fillId="0" borderId="0"/>
    <xf numFmtId="0" fontId="77" fillId="0" borderId="0"/>
    <xf numFmtId="0" fontId="4" fillId="0" borderId="0"/>
    <xf numFmtId="0" fontId="4" fillId="0" borderId="0"/>
    <xf numFmtId="0" fontId="4" fillId="0" borderId="0"/>
    <xf numFmtId="0" fontId="77" fillId="0" borderId="0"/>
    <xf numFmtId="0" fontId="4" fillId="0" borderId="0"/>
    <xf numFmtId="0" fontId="77" fillId="0" borderId="0"/>
    <xf numFmtId="0" fontId="77" fillId="0" borderId="0"/>
    <xf numFmtId="0" fontId="77" fillId="0" borderId="0"/>
    <xf numFmtId="0" fontId="77" fillId="0" borderId="0"/>
    <xf numFmtId="0" fontId="77" fillId="0" borderId="0"/>
    <xf numFmtId="0" fontId="4" fillId="0" borderId="0"/>
    <xf numFmtId="0" fontId="4" fillId="0" borderId="0"/>
    <xf numFmtId="0" fontId="4" fillId="0" borderId="0"/>
    <xf numFmtId="0" fontId="4" fillId="0" borderId="0"/>
    <xf numFmtId="0" fontId="73" fillId="0" borderId="0"/>
    <xf numFmtId="0" fontId="73" fillId="0" borderId="0"/>
    <xf numFmtId="0" fontId="24" fillId="0" borderId="0"/>
    <xf numFmtId="0" fontId="76" fillId="0" borderId="0"/>
    <xf numFmtId="0" fontId="77" fillId="0" borderId="0"/>
    <xf numFmtId="0" fontId="77" fillId="0" borderId="0"/>
    <xf numFmtId="0" fontId="4" fillId="0" borderId="0"/>
    <xf numFmtId="0" fontId="76" fillId="0" borderId="0"/>
    <xf numFmtId="0" fontId="77" fillId="0" borderId="0"/>
    <xf numFmtId="0" fontId="73" fillId="0" borderId="0"/>
    <xf numFmtId="0" fontId="73" fillId="0" borderId="0"/>
    <xf numFmtId="0" fontId="73" fillId="0" borderId="0"/>
    <xf numFmtId="0" fontId="76" fillId="0" borderId="0"/>
    <xf numFmtId="0" fontId="77" fillId="0" borderId="0"/>
    <xf numFmtId="0" fontId="4" fillId="0" borderId="0"/>
    <xf numFmtId="0" fontId="76" fillId="0" borderId="0"/>
    <xf numFmtId="0" fontId="77" fillId="0" borderId="0"/>
    <xf numFmtId="0" fontId="76" fillId="0" borderId="0"/>
    <xf numFmtId="0" fontId="77" fillId="0" borderId="0"/>
    <xf numFmtId="0" fontId="4" fillId="0" borderId="0"/>
    <xf numFmtId="0" fontId="77" fillId="0" borderId="0"/>
    <xf numFmtId="0" fontId="24" fillId="0" borderId="0"/>
    <xf numFmtId="0" fontId="77" fillId="0" borderId="0"/>
    <xf numFmtId="0" fontId="73" fillId="0" borderId="0"/>
    <xf numFmtId="0" fontId="73" fillId="0" borderId="0"/>
    <xf numFmtId="0" fontId="24" fillId="0" borderId="0"/>
    <xf numFmtId="0" fontId="25" fillId="0" borderId="0"/>
    <xf numFmtId="0" fontId="77" fillId="0" borderId="0"/>
    <xf numFmtId="0" fontId="77" fillId="0" borderId="0"/>
    <xf numFmtId="0" fontId="4" fillId="0" borderId="0"/>
    <xf numFmtId="0" fontId="77" fillId="0" borderId="0"/>
    <xf numFmtId="0" fontId="25" fillId="0" borderId="0"/>
    <xf numFmtId="0" fontId="77" fillId="0" borderId="0"/>
    <xf numFmtId="0" fontId="74" fillId="0" borderId="0"/>
    <xf numFmtId="0" fontId="74" fillId="0" borderId="0"/>
    <xf numFmtId="0" fontId="25" fillId="0" borderId="0"/>
    <xf numFmtId="0" fontId="4" fillId="0" borderId="0"/>
    <xf numFmtId="0" fontId="4" fillId="0" borderId="0"/>
    <xf numFmtId="0" fontId="75" fillId="0" borderId="0"/>
    <xf numFmtId="0" fontId="75" fillId="0" borderId="0"/>
    <xf numFmtId="0" fontId="77" fillId="0" borderId="0"/>
    <xf numFmtId="0" fontId="77" fillId="0" borderId="0"/>
    <xf numFmtId="0" fontId="4" fillId="0" borderId="0"/>
    <xf numFmtId="0" fontId="77" fillId="0" borderId="0"/>
    <xf numFmtId="0" fontId="77" fillId="0" borderId="0"/>
    <xf numFmtId="0" fontId="77" fillId="0" borderId="0"/>
    <xf numFmtId="0" fontId="4" fillId="0" borderId="0"/>
    <xf numFmtId="0" fontId="77" fillId="0" borderId="0"/>
    <xf numFmtId="0" fontId="77" fillId="0" borderId="0"/>
    <xf numFmtId="0" fontId="77" fillId="0" borderId="0"/>
    <xf numFmtId="0" fontId="77" fillId="0" borderId="0"/>
    <xf numFmtId="0" fontId="4" fillId="0" borderId="0"/>
    <xf numFmtId="0" fontId="77" fillId="0" borderId="0"/>
    <xf numFmtId="0" fontId="77" fillId="0" borderId="0"/>
    <xf numFmtId="0" fontId="77" fillId="0" borderId="0"/>
    <xf numFmtId="0" fontId="77" fillId="0" borderId="0"/>
    <xf numFmtId="0" fontId="4" fillId="0" borderId="0"/>
    <xf numFmtId="0" fontId="25" fillId="0" borderId="0"/>
    <xf numFmtId="0" fontId="25" fillId="0" borderId="0"/>
    <xf numFmtId="0" fontId="74" fillId="0" borderId="0"/>
    <xf numFmtId="0" fontId="25" fillId="0" borderId="0"/>
    <xf numFmtId="0" fontId="73" fillId="0" borderId="0"/>
    <xf numFmtId="0" fontId="73" fillId="0" borderId="0"/>
    <xf numFmtId="0" fontId="4" fillId="0" borderId="0"/>
    <xf numFmtId="0" fontId="77" fillId="0" borderId="0"/>
    <xf numFmtId="0" fontId="73" fillId="0" borderId="0"/>
    <xf numFmtId="0" fontId="74" fillId="0" borderId="0"/>
    <xf numFmtId="0" fontId="74" fillId="0" borderId="0"/>
    <xf numFmtId="0" fontId="77" fillId="0" borderId="0"/>
    <xf numFmtId="0" fontId="4" fillId="0" borderId="0"/>
    <xf numFmtId="0" fontId="73" fillId="0" borderId="0"/>
    <xf numFmtId="0" fontId="73" fillId="0" borderId="0"/>
    <xf numFmtId="0" fontId="73" fillId="0" borderId="0"/>
    <xf numFmtId="0" fontId="73" fillId="0" borderId="0"/>
    <xf numFmtId="0" fontId="77" fillId="0" borderId="0"/>
    <xf numFmtId="0" fontId="77" fillId="0" borderId="0"/>
    <xf numFmtId="0" fontId="4" fillId="0" borderId="0"/>
    <xf numFmtId="0" fontId="77" fillId="0" borderId="0"/>
    <xf numFmtId="0" fontId="25" fillId="0" borderId="0"/>
    <xf numFmtId="0" fontId="73" fillId="0" borderId="0"/>
    <xf numFmtId="0" fontId="77" fillId="0" borderId="0"/>
    <xf numFmtId="0" fontId="77" fillId="0" borderId="0"/>
    <xf numFmtId="0" fontId="77" fillId="0" borderId="0"/>
    <xf numFmtId="0" fontId="73" fillId="0" borderId="0"/>
    <xf numFmtId="0" fontId="73" fillId="0" borderId="0"/>
    <xf numFmtId="0" fontId="73" fillId="0" borderId="0"/>
    <xf numFmtId="0" fontId="24" fillId="0" borderId="0"/>
    <xf numFmtId="0" fontId="73" fillId="0" borderId="0"/>
    <xf numFmtId="0" fontId="24" fillId="0" borderId="0"/>
    <xf numFmtId="0" fontId="77" fillId="0" borderId="0"/>
    <xf numFmtId="0" fontId="73" fillId="0" borderId="0"/>
    <xf numFmtId="0" fontId="73" fillId="0" borderId="0"/>
    <xf numFmtId="0" fontId="73" fillId="0" borderId="0"/>
    <xf numFmtId="0" fontId="77" fillId="0" borderId="0"/>
    <xf numFmtId="0" fontId="73" fillId="0" borderId="0"/>
    <xf numFmtId="0" fontId="73" fillId="0" borderId="0"/>
    <xf numFmtId="0" fontId="4" fillId="0" borderId="0"/>
    <xf numFmtId="0" fontId="73" fillId="0" borderId="0"/>
    <xf numFmtId="0" fontId="73" fillId="0" borderId="0"/>
    <xf numFmtId="0" fontId="73" fillId="0" borderId="0"/>
    <xf numFmtId="0" fontId="73" fillId="0" borderId="0"/>
    <xf numFmtId="0" fontId="24" fillId="0" borderId="0"/>
    <xf numFmtId="0" fontId="73" fillId="0" borderId="0"/>
    <xf numFmtId="0" fontId="73" fillId="0" borderId="0"/>
    <xf numFmtId="0" fontId="73" fillId="0" borderId="0"/>
    <xf numFmtId="0" fontId="73" fillId="0" borderId="0"/>
    <xf numFmtId="0" fontId="73" fillId="0" borderId="0"/>
    <xf numFmtId="0" fontId="73" fillId="0" borderId="0"/>
    <xf numFmtId="0" fontId="77" fillId="0" borderId="0"/>
    <xf numFmtId="0" fontId="73" fillId="0" borderId="0"/>
    <xf numFmtId="0" fontId="4" fillId="0" borderId="0"/>
    <xf numFmtId="0" fontId="77" fillId="0" borderId="0"/>
    <xf numFmtId="0" fontId="77" fillId="0" borderId="0"/>
    <xf numFmtId="0" fontId="77" fillId="0" borderId="0"/>
    <xf numFmtId="164" fontId="4" fillId="0" borderId="0"/>
    <xf numFmtId="0" fontId="77" fillId="0" borderId="0"/>
    <xf numFmtId="0" fontId="77" fillId="0" borderId="0"/>
    <xf numFmtId="0" fontId="4" fillId="0" borderId="0"/>
    <xf numFmtId="0" fontId="77" fillId="0" borderId="0"/>
    <xf numFmtId="0" fontId="4" fillId="0" borderId="0"/>
    <xf numFmtId="0" fontId="4" fillId="0" borderId="0"/>
    <xf numFmtId="0" fontId="4" fillId="0" borderId="0"/>
    <xf numFmtId="0" fontId="4" fillId="0" borderId="0"/>
    <xf numFmtId="0" fontId="4" fillId="0" borderId="0"/>
    <xf numFmtId="164" fontId="4" fillId="0" borderId="0"/>
    <xf numFmtId="0" fontId="77" fillId="0" borderId="0"/>
    <xf numFmtId="0" fontId="77" fillId="0" borderId="0"/>
    <xf numFmtId="0" fontId="73" fillId="0" borderId="0"/>
    <xf numFmtId="0" fontId="4" fillId="0" borderId="0"/>
    <xf numFmtId="0" fontId="73" fillId="0" borderId="0"/>
    <xf numFmtId="0" fontId="73" fillId="0" borderId="0"/>
    <xf numFmtId="0" fontId="73" fillId="0" borderId="0"/>
    <xf numFmtId="0" fontId="4" fillId="0" borderId="0"/>
    <xf numFmtId="0" fontId="73" fillId="0" borderId="0"/>
    <xf numFmtId="0" fontId="73" fillId="0" borderId="0"/>
    <xf numFmtId="0" fontId="4" fillId="0" borderId="0"/>
    <xf numFmtId="0" fontId="73" fillId="0" borderId="0"/>
    <xf numFmtId="0" fontId="73" fillId="0" borderId="0"/>
    <xf numFmtId="0" fontId="73" fillId="0" borderId="0"/>
    <xf numFmtId="0" fontId="4" fillId="0" borderId="0"/>
    <xf numFmtId="0" fontId="73" fillId="0" borderId="0"/>
    <xf numFmtId="0" fontId="73" fillId="0" borderId="0"/>
    <xf numFmtId="0" fontId="77" fillId="0" borderId="0"/>
    <xf numFmtId="0" fontId="4" fillId="0" borderId="0"/>
    <xf numFmtId="0" fontId="77" fillId="0" borderId="0"/>
    <xf numFmtId="0" fontId="24"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4" fillId="0" borderId="0"/>
    <xf numFmtId="0" fontId="4" fillId="0" borderId="0"/>
    <xf numFmtId="0" fontId="4" fillId="0" borderId="0"/>
    <xf numFmtId="0" fontId="4" fillId="0" borderId="0"/>
    <xf numFmtId="0" fontId="4" fillId="0" borderId="0"/>
    <xf numFmtId="0" fontId="4" fillId="0" borderId="0"/>
    <xf numFmtId="0" fontId="73" fillId="0" borderId="0"/>
    <xf numFmtId="0" fontId="4" fillId="0" borderId="0"/>
    <xf numFmtId="0" fontId="77" fillId="0" borderId="0"/>
    <xf numFmtId="0" fontId="24" fillId="0" borderId="0"/>
    <xf numFmtId="0" fontId="73" fillId="0" borderId="0"/>
    <xf numFmtId="0" fontId="24" fillId="0" borderId="0"/>
    <xf numFmtId="0" fontId="4" fillId="0" borderId="0"/>
    <xf numFmtId="0" fontId="77" fillId="0" borderId="0"/>
    <xf numFmtId="0" fontId="77" fillId="0" borderId="0"/>
    <xf numFmtId="0" fontId="4" fillId="0" borderId="0"/>
    <xf numFmtId="0" fontId="4" fillId="0" borderId="0"/>
    <xf numFmtId="0" fontId="77" fillId="0" borderId="0"/>
    <xf numFmtId="0" fontId="4" fillId="0" borderId="0"/>
    <xf numFmtId="0" fontId="4" fillId="0" borderId="0"/>
    <xf numFmtId="0" fontId="4" fillId="0" borderId="0"/>
    <xf numFmtId="0" fontId="4" fillId="0" borderId="0"/>
    <xf numFmtId="0" fontId="77" fillId="0" borderId="0"/>
    <xf numFmtId="0" fontId="4" fillId="0" borderId="0"/>
    <xf numFmtId="0" fontId="4" fillId="0" borderId="0"/>
    <xf numFmtId="0" fontId="4" fillId="0" borderId="0"/>
    <xf numFmtId="0" fontId="77" fillId="0" borderId="0"/>
    <xf numFmtId="0" fontId="77" fillId="0" borderId="0"/>
    <xf numFmtId="0" fontId="4" fillId="0" borderId="0"/>
    <xf numFmtId="0" fontId="1" fillId="61" borderId="18" applyNumberFormat="0" applyFont="0" applyAlignment="0" applyProtection="0"/>
    <xf numFmtId="0" fontId="1" fillId="61" borderId="18" applyNumberFormat="0" applyFont="0" applyAlignment="0" applyProtection="0"/>
    <xf numFmtId="0" fontId="4" fillId="61" borderId="19" applyNumberFormat="0" applyFont="0" applyAlignment="0" applyProtection="0"/>
    <xf numFmtId="0" fontId="1" fillId="61" borderId="18" applyNumberFormat="0" applyFont="0" applyAlignment="0" applyProtection="0"/>
    <xf numFmtId="0" fontId="1" fillId="61" borderId="18" applyNumberFormat="0" applyFont="0" applyAlignment="0" applyProtection="0"/>
    <xf numFmtId="0" fontId="77" fillId="62" borderId="20" applyNumberFormat="0" applyAlignment="0" applyProtection="0"/>
    <xf numFmtId="0" fontId="19" fillId="53" borderId="21" applyNumberFormat="0" applyAlignment="0" applyProtection="0"/>
    <xf numFmtId="0" fontId="19" fillId="53" borderId="21" applyNumberFormat="0" applyAlignment="0" applyProtection="0"/>
    <xf numFmtId="0" fontId="40" fillId="53" borderId="1" applyNumberFormat="0" applyAlignment="0" applyProtection="0"/>
    <xf numFmtId="0" fontId="19" fillId="53" borderId="21" applyNumberFormat="0" applyAlignment="0" applyProtection="0"/>
    <xf numFmtId="0" fontId="19" fillId="53" borderId="21" applyNumberFormat="0" applyAlignment="0" applyProtection="0"/>
    <xf numFmtId="0" fontId="59" fillId="54" borderId="22" applyNumberFormat="0" applyAlignment="0" applyProtection="0"/>
    <xf numFmtId="9" fontId="77" fillId="0" borderId="0" applyFill="0" applyBorder="0" applyAlignment="0" applyProtection="0"/>
    <xf numFmtId="9" fontId="77" fillId="0" borderId="0" applyFill="0" applyBorder="0" applyAlignment="0" applyProtection="0"/>
    <xf numFmtId="9" fontId="77" fillId="0" borderId="0" applyFill="0" applyBorder="0" applyAlignment="0" applyProtection="0"/>
    <xf numFmtId="9" fontId="77" fillId="0" borderId="0" applyFill="0" applyBorder="0" applyAlignment="0" applyProtection="0"/>
    <xf numFmtId="9" fontId="77" fillId="0" borderId="0" applyFill="0" applyBorder="0" applyAlignment="0" applyProtection="0"/>
    <xf numFmtId="9" fontId="4" fillId="0" borderId="0" applyFont="0" applyFill="0" applyBorder="0" applyAlignment="0" applyProtection="0"/>
    <xf numFmtId="9" fontId="77" fillId="0" borderId="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3" fillId="0" borderId="0" applyFill="0" applyBorder="0" applyAlignment="0" applyProtection="0"/>
    <xf numFmtId="9" fontId="4" fillId="0" borderId="0" applyFont="0" applyFill="0" applyBorder="0" applyAlignment="0" applyProtection="0"/>
    <xf numFmtId="9" fontId="73" fillId="0" borderId="0" applyFill="0" applyBorder="0" applyAlignment="0" applyProtection="0"/>
    <xf numFmtId="9" fontId="73" fillId="0" borderId="0" applyFill="0" applyBorder="0" applyAlignment="0" applyProtection="0"/>
    <xf numFmtId="9" fontId="4" fillId="0" borderId="0" applyFont="0" applyFill="0" applyBorder="0" applyAlignment="0" applyProtection="0"/>
    <xf numFmtId="9" fontId="73" fillId="0" borderId="0" applyFill="0" applyBorder="0" applyAlignment="0" applyProtection="0"/>
    <xf numFmtId="9" fontId="4" fillId="0" borderId="0" applyFont="0" applyFill="0" applyBorder="0" applyAlignment="0" applyProtection="0"/>
    <xf numFmtId="9" fontId="25" fillId="0" borderId="0" applyFont="0" applyFill="0" applyBorder="0" applyAlignment="0" applyProtection="0"/>
    <xf numFmtId="9" fontId="73" fillId="0" borderId="0" applyFill="0" applyBorder="0" applyAlignment="0" applyProtection="0"/>
    <xf numFmtId="9" fontId="25" fillId="0" borderId="0" applyFont="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7" fillId="0" borderId="0" applyFill="0" applyBorder="0" applyAlignment="0" applyProtection="0"/>
    <xf numFmtId="9" fontId="77" fillId="0" borderId="0" applyFill="0" applyBorder="0" applyAlignment="0" applyProtection="0"/>
    <xf numFmtId="9" fontId="4" fillId="0" borderId="0" applyFont="0" applyFill="0" applyBorder="0" applyAlignment="0" applyProtection="0"/>
    <xf numFmtId="9" fontId="73" fillId="0" borderId="0" applyFill="0" applyBorder="0" applyAlignment="0" applyProtection="0"/>
    <xf numFmtId="9" fontId="73" fillId="0" borderId="0" applyFill="0" applyBorder="0" applyAlignment="0" applyProtection="0"/>
    <xf numFmtId="9" fontId="4" fillId="0" borderId="0" applyFont="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4" fillId="0" borderId="0" applyFont="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1" fillId="0" borderId="0" applyFont="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77" fillId="0" borderId="0" applyFill="0" applyBorder="0" applyAlignment="0" applyProtection="0"/>
    <xf numFmtId="9" fontId="73" fillId="0" borderId="0" applyFill="0" applyBorder="0" applyAlignment="0" applyProtection="0"/>
    <xf numFmtId="9" fontId="1" fillId="0" borderId="0" applyFont="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1" fillId="0" borderId="0" applyFont="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73" fillId="0" borderId="0" applyFill="0" applyBorder="0" applyAlignment="0" applyProtection="0"/>
    <xf numFmtId="9" fontId="1" fillId="0" borderId="0" applyFont="0" applyFill="0" applyBorder="0" applyAlignment="0" applyProtection="0"/>
    <xf numFmtId="9" fontId="77" fillId="0" borderId="0" applyFill="0" applyBorder="0" applyAlignment="0" applyProtection="0"/>
    <xf numFmtId="9" fontId="77" fillId="0" borderId="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1"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62" fillId="0" borderId="0" applyNumberFormat="0" applyFill="0" applyBorder="0" applyAlignment="0" applyProtection="0"/>
    <xf numFmtId="0" fontId="18" fillId="0" borderId="23" applyNumberFormat="0" applyFill="0" applyAlignment="0" applyProtection="0"/>
    <xf numFmtId="0" fontId="18" fillId="0" borderId="23" applyNumberFormat="0" applyFill="0" applyAlignment="0" applyProtection="0"/>
    <xf numFmtId="0" fontId="42" fillId="0" borderId="24" applyNumberFormat="0" applyFill="0" applyAlignment="0" applyProtection="0"/>
    <xf numFmtId="0" fontId="18" fillId="0" borderId="23" applyNumberFormat="0" applyFill="0" applyAlignment="0" applyProtection="0"/>
    <xf numFmtId="0" fontId="18" fillId="0" borderId="23" applyNumberFormat="0" applyFill="0" applyAlignment="0" applyProtection="0"/>
    <xf numFmtId="0" fontId="51" fillId="0" borderId="25" applyNumberFormat="0" applyFill="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43"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67" fillId="0" borderId="0" applyNumberFormat="0" applyFill="0" applyBorder="0" applyAlignment="0" applyProtection="0"/>
    <xf numFmtId="0" fontId="72" fillId="41" borderId="0" applyNumberFormat="0" applyBorder="0" applyAlignment="0" applyProtection="0"/>
    <xf numFmtId="0" fontId="72" fillId="41" borderId="0" applyNumberFormat="0" applyBorder="0" applyAlignment="0" applyProtection="0"/>
    <xf numFmtId="0" fontId="72" fillId="43" borderId="0" applyNumberFormat="0" applyBorder="0" applyAlignment="0" applyProtection="0"/>
    <xf numFmtId="0" fontId="72" fillId="43" borderId="0" applyNumberFormat="0" applyBorder="0" applyAlignment="0" applyProtection="0"/>
    <xf numFmtId="0" fontId="72" fillId="45" borderId="0" applyNumberFormat="0" applyBorder="0" applyAlignment="0" applyProtection="0"/>
    <xf numFmtId="0" fontId="72" fillId="45" borderId="0" applyNumberFormat="0" applyBorder="0" applyAlignment="0" applyProtection="0"/>
    <xf numFmtId="0" fontId="72" fillId="46" borderId="0" applyNumberFormat="0" applyBorder="0" applyAlignment="0" applyProtection="0"/>
    <xf numFmtId="0" fontId="72" fillId="46" borderId="0" applyNumberFormat="0" applyBorder="0" applyAlignment="0" applyProtection="0"/>
    <xf numFmtId="0" fontId="72" fillId="47" borderId="0" applyNumberFormat="0" applyBorder="0" applyAlignment="0" applyProtection="0"/>
    <xf numFmtId="0" fontId="72" fillId="47" borderId="0" applyNumberFormat="0" applyBorder="0" applyAlignment="0" applyProtection="0"/>
    <xf numFmtId="0" fontId="72" fillId="50" borderId="0" applyNumberFormat="0" applyBorder="0" applyAlignment="0" applyProtection="0"/>
    <xf numFmtId="0" fontId="72" fillId="50" borderId="0" applyNumberFormat="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1" fillId="62" borderId="20" applyNumberFormat="0" applyFont="0" applyAlignment="0" applyProtection="0"/>
    <xf numFmtId="0" fontId="1" fillId="62" borderId="20" applyNumberFormat="0" applyFon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77" fillId="62" borderId="20" applyNumberForma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1" fillId="62" borderId="20" applyNumberFormat="0" applyFont="0" applyAlignment="0" applyProtection="0"/>
    <xf numFmtId="0" fontId="1" fillId="62" borderId="20" applyNumberFormat="0" applyFont="0" applyAlignment="0" applyProtection="0"/>
    <xf numFmtId="0" fontId="1" fillId="62" borderId="20" applyNumberFormat="0" applyFont="0" applyAlignment="0" applyProtection="0"/>
    <xf numFmtId="0" fontId="77" fillId="62" borderId="20" applyNumberFormat="0" applyAlignment="0" applyProtection="0"/>
    <xf numFmtId="0" fontId="1" fillId="62" borderId="20" applyNumberFormat="0" applyFont="0" applyAlignment="0" applyProtection="0"/>
    <xf numFmtId="0" fontId="1" fillId="62" borderId="20" applyNumberFormat="0" applyFont="0" applyAlignment="0" applyProtection="0"/>
    <xf numFmtId="0" fontId="1" fillId="62" borderId="20" applyNumberFormat="0" applyFont="0" applyAlignment="0" applyProtection="0"/>
    <xf numFmtId="0" fontId="77" fillId="62" borderId="20" applyNumberFormat="0" applyAlignment="0" applyProtection="0"/>
    <xf numFmtId="0" fontId="1" fillId="62" borderId="20" applyNumberFormat="0" applyFont="0" applyAlignment="0" applyProtection="0"/>
    <xf numFmtId="0" fontId="77" fillId="62" borderId="20" applyNumberFormat="0" applyAlignment="0" applyProtection="0"/>
    <xf numFmtId="0" fontId="1" fillId="62" borderId="20" applyNumberFormat="0" applyFont="0" applyAlignment="0" applyProtection="0"/>
    <xf numFmtId="0" fontId="69" fillId="54" borderId="2" applyNumberFormat="0" applyAlignment="0" applyProtection="0"/>
    <xf numFmtId="0" fontId="69" fillId="54" borderId="2" applyNumberFormat="0" applyAlignment="0" applyProtection="0"/>
    <xf numFmtId="0" fontId="68" fillId="57" borderId="0" applyNumberFormat="0" applyBorder="0" applyAlignment="0" applyProtection="0"/>
    <xf numFmtId="0" fontId="68" fillId="57" borderId="0" applyNumberFormat="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2" fillId="0" borderId="0" applyNumberFormat="0" applyFill="0" applyBorder="0" applyAlignment="0" applyProtection="0"/>
    <xf numFmtId="0" fontId="65" fillId="0" borderId="8" applyNumberFormat="0" applyFill="0" applyAlignment="0" applyProtection="0"/>
    <xf numFmtId="0" fontId="65" fillId="0" borderId="8" applyNumberFormat="0" applyFill="0" applyAlignment="0" applyProtection="0"/>
    <xf numFmtId="0" fontId="64" fillId="0" borderId="11" applyNumberFormat="0" applyFill="0" applyAlignment="0" applyProtection="0"/>
    <xf numFmtId="0" fontId="64" fillId="0" borderId="11" applyNumberFormat="0" applyFill="0" applyAlignment="0" applyProtection="0"/>
    <xf numFmtId="0" fontId="63" fillId="0" borderId="14" applyNumberFormat="0" applyFill="0" applyAlignment="0" applyProtection="0"/>
    <xf numFmtId="0" fontId="63" fillId="0" borderId="14"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2" fillId="0" borderId="0" applyNumberFormat="0" applyFill="0" applyBorder="0" applyAlignment="0" applyProtection="0"/>
    <xf numFmtId="0" fontId="61" fillId="0" borderId="0" applyNumberFormat="0" applyFill="0" applyBorder="0" applyAlignment="0" applyProtection="0"/>
    <xf numFmtId="42" fontId="77" fillId="0" borderId="0" applyFill="0" applyBorder="0" applyAlignment="0" applyProtection="0"/>
    <xf numFmtId="0" fontId="60" fillId="60" borderId="0" applyNumberFormat="0" applyBorder="0" applyAlignment="0" applyProtection="0"/>
    <xf numFmtId="0" fontId="60" fillId="60" borderId="0" applyNumberFormat="0" applyBorder="0" applyAlignment="0" applyProtection="0"/>
    <xf numFmtId="0" fontId="51" fillId="0" borderId="25" applyNumberFormat="0" applyFill="0" applyAlignment="0" applyProtection="0"/>
    <xf numFmtId="0" fontId="51" fillId="0" borderId="25" applyNumberFormat="0" applyFill="0" applyAlignment="0" applyProtection="0"/>
    <xf numFmtId="0" fontId="59" fillId="54" borderId="22" applyNumberFormat="0" applyAlignment="0" applyProtection="0"/>
    <xf numFmtId="0" fontId="59" fillId="54" borderId="22" applyNumberFormat="0" applyAlignment="0" applyProtection="0"/>
    <xf numFmtId="41" fontId="77" fillId="0" borderId="0" applyFill="0" applyBorder="0" applyAlignment="0" applyProtection="0"/>
    <xf numFmtId="0" fontId="58" fillId="58" borderId="2" applyNumberFormat="0" applyAlignment="0" applyProtection="0"/>
    <xf numFmtId="0" fontId="58" fillId="58" borderId="2" applyNumberFormat="0" applyAlignment="0" applyProtection="0"/>
    <xf numFmtId="0" fontId="57" fillId="51" borderId="0" applyNumberFormat="0" applyBorder="0" applyAlignment="0" applyProtection="0"/>
    <xf numFmtId="0" fontId="57" fillId="51" borderId="0" applyNumberFormat="0" applyBorder="0" applyAlignment="0" applyProtection="0"/>
    <xf numFmtId="0" fontId="56" fillId="56" borderId="5" applyNumberFormat="0" applyAlignment="0" applyProtection="0"/>
    <xf numFmtId="0" fontId="56" fillId="56" borderId="5" applyNumberFormat="0" applyAlignment="0" applyProtection="0"/>
    <xf numFmtId="0" fontId="55" fillId="0" borderId="17" applyNumberFormat="0" applyFill="0" applyAlignment="0" applyProtection="0"/>
    <xf numFmtId="0" fontId="55" fillId="0" borderId="17" applyNumberFormat="0" applyFill="0" applyAlignment="0" applyProtection="0"/>
  </cellStyleXfs>
  <cellXfs count="181">
    <xf numFmtId="0" fontId="0" fillId="0" borderId="0" xfId="0" applyFont="1" applyAlignment="1"/>
    <xf numFmtId="0" fontId="48" fillId="63" borderId="26" xfId="0" applyFont="1" applyFill="1" applyBorder="1" applyAlignment="1">
      <alignment horizontal="center"/>
    </xf>
    <xf numFmtId="0" fontId="48" fillId="63" borderId="27" xfId="0" applyFont="1" applyFill="1" applyBorder="1" applyAlignment="1">
      <alignment horizontal="center"/>
    </xf>
    <xf numFmtId="0" fontId="0" fillId="0" borderId="28" xfId="0" applyFont="1" applyBorder="1" applyAlignment="1"/>
    <xf numFmtId="0" fontId="0" fillId="0" borderId="0" xfId="0" applyFont="1" applyBorder="1" applyAlignment="1"/>
    <xf numFmtId="0" fontId="0" fillId="0" borderId="29" xfId="0" applyFont="1" applyBorder="1" applyAlignment="1"/>
    <xf numFmtId="0" fontId="3" fillId="64" borderId="30" xfId="0" applyFont="1" applyFill="1" applyBorder="1" applyAlignment="1">
      <alignment vertical="center"/>
    </xf>
    <xf numFmtId="0" fontId="3" fillId="64" borderId="31" xfId="0" applyFont="1" applyFill="1" applyBorder="1" applyAlignment="1">
      <alignment vertical="center"/>
    </xf>
    <xf numFmtId="9" fontId="3" fillId="64" borderId="30" xfId="0" applyNumberFormat="1" applyFont="1" applyFill="1" applyBorder="1" applyAlignment="1">
      <alignment vertical="center"/>
    </xf>
    <xf numFmtId="9" fontId="3" fillId="64" borderId="31" xfId="0" applyNumberFormat="1" applyFont="1" applyFill="1" applyBorder="1" applyAlignment="1">
      <alignment vertical="center"/>
    </xf>
    <xf numFmtId="9" fontId="3" fillId="64" borderId="27" xfId="0" applyNumberFormat="1" applyFont="1" applyFill="1" applyBorder="1" applyAlignment="1"/>
    <xf numFmtId="9" fontId="3" fillId="64" borderId="31" xfId="0" applyNumberFormat="1" applyFont="1" applyFill="1" applyBorder="1" applyAlignment="1"/>
    <xf numFmtId="9" fontId="3" fillId="64" borderId="27" xfId="843" applyFont="1" applyFill="1" applyBorder="1" applyAlignment="1">
      <alignment vertical="center" wrapText="1"/>
    </xf>
    <xf numFmtId="9" fontId="3" fillId="64" borderId="30" xfId="843" applyFont="1" applyFill="1" applyBorder="1" applyAlignment="1">
      <alignment vertical="center" wrapText="1"/>
    </xf>
    <xf numFmtId="9" fontId="3" fillId="64" borderId="31" xfId="843" applyFont="1" applyFill="1" applyBorder="1" applyAlignment="1">
      <alignment vertical="center" wrapText="1"/>
    </xf>
    <xf numFmtId="0" fontId="3" fillId="64" borderId="32" xfId="0" applyFont="1" applyFill="1" applyBorder="1" applyAlignment="1">
      <alignment vertical="center" wrapText="1"/>
    </xf>
    <xf numFmtId="0" fontId="3" fillId="64" borderId="33" xfId="0" applyFont="1" applyFill="1" applyBorder="1" applyAlignment="1">
      <alignment vertical="center" wrapText="1"/>
    </xf>
    <xf numFmtId="0" fontId="3" fillId="64" borderId="34" xfId="0" applyFont="1" applyFill="1" applyBorder="1" applyAlignment="1">
      <alignment vertical="center" wrapText="1"/>
    </xf>
    <xf numFmtId="9" fontId="3" fillId="64" borderId="35" xfId="843" applyFont="1" applyFill="1" applyBorder="1" applyAlignment="1">
      <alignment horizontal="right"/>
    </xf>
    <xf numFmtId="0" fontId="3" fillId="64" borderId="36" xfId="0" applyFont="1" applyFill="1" applyBorder="1" applyAlignment="1">
      <alignment vertical="center" wrapText="1"/>
    </xf>
    <xf numFmtId="9" fontId="3" fillId="64" borderId="30" xfId="843" applyFont="1" applyFill="1" applyBorder="1" applyAlignment="1">
      <alignment horizontal="right"/>
    </xf>
    <xf numFmtId="0" fontId="0" fillId="0" borderId="37" xfId="0" applyFont="1" applyBorder="1" applyAlignment="1"/>
    <xf numFmtId="0" fontId="5" fillId="0" borderId="37" xfId="0" applyFont="1" applyBorder="1" applyAlignment="1"/>
    <xf numFmtId="0" fontId="54" fillId="63" borderId="37" xfId="0" applyFont="1" applyFill="1" applyBorder="1" applyAlignment="1">
      <alignment horizontal="center" vertical="center"/>
    </xf>
    <xf numFmtId="0" fontId="54" fillId="63" borderId="37" xfId="0" applyFont="1" applyFill="1" applyBorder="1" applyAlignment="1">
      <alignment horizontal="center" vertical="center" wrapText="1"/>
    </xf>
    <xf numFmtId="0" fontId="54" fillId="63" borderId="37" xfId="704" applyFont="1" applyFill="1" applyBorder="1" applyAlignment="1">
      <alignment horizontal="center" vertical="center" wrapText="1"/>
    </xf>
    <xf numFmtId="0" fontId="2" fillId="65" borderId="37" xfId="0" applyFont="1" applyFill="1" applyBorder="1" applyAlignment="1"/>
    <xf numFmtId="9" fontId="53" fillId="64" borderId="37" xfId="850" applyNumberFormat="1" applyFont="1" applyFill="1" applyBorder="1" applyAlignment="1">
      <alignment horizontal="center"/>
    </xf>
    <xf numFmtId="9" fontId="3" fillId="64" borderId="37" xfId="0" applyNumberFormat="1" applyFont="1" applyFill="1" applyBorder="1" applyAlignment="1">
      <alignment horizontal="center"/>
    </xf>
    <xf numFmtId="0" fontId="3" fillId="64" borderId="37" xfId="0" applyFont="1" applyFill="1" applyBorder="1" applyAlignment="1">
      <alignment horizontal="center"/>
    </xf>
    <xf numFmtId="2" fontId="3" fillId="64" borderId="37" xfId="0" applyNumberFormat="1" applyFont="1" applyFill="1" applyBorder="1" applyAlignment="1">
      <alignment horizontal="right" wrapText="1"/>
    </xf>
    <xf numFmtId="0" fontId="3" fillId="64" borderId="37" xfId="704" applyFont="1" applyFill="1" applyBorder="1"/>
    <xf numFmtId="0" fontId="3" fillId="64" borderId="37" xfId="0" applyFont="1" applyFill="1" applyBorder="1" applyAlignment="1"/>
    <xf numFmtId="0" fontId="3" fillId="65" borderId="37" xfId="704" applyFont="1" applyFill="1" applyBorder="1"/>
    <xf numFmtId="0" fontId="3" fillId="65" borderId="37" xfId="0" applyFont="1" applyFill="1" applyBorder="1" applyAlignment="1"/>
    <xf numFmtId="0" fontId="53" fillId="0" borderId="37" xfId="0" applyFont="1" applyBorder="1" applyAlignment="1"/>
    <xf numFmtId="0" fontId="3" fillId="0" borderId="37" xfId="704" applyFont="1" applyBorder="1" applyAlignment="1">
      <alignment horizontal="right" readingOrder="2"/>
    </xf>
    <xf numFmtId="0" fontId="3" fillId="0" borderId="37" xfId="704" applyFont="1" applyBorder="1"/>
    <xf numFmtId="0" fontId="3" fillId="64" borderId="38" xfId="0" applyFont="1" applyFill="1" applyBorder="1" applyAlignment="1">
      <alignment horizontal="right" vertical="top"/>
    </xf>
    <xf numFmtId="9" fontId="3" fillId="64" borderId="39" xfId="843" applyFont="1" applyFill="1" applyBorder="1" applyAlignment="1">
      <alignment horizontal="right" vertical="top"/>
    </xf>
    <xf numFmtId="0" fontId="45" fillId="65" borderId="33" xfId="0" applyFont="1" applyFill="1" applyBorder="1" applyAlignment="1">
      <alignment vertical="top" wrapText="1"/>
    </xf>
    <xf numFmtId="0" fontId="45" fillId="65" borderId="32" xfId="0" applyFont="1" applyFill="1" applyBorder="1" applyAlignment="1">
      <alignment vertical="top"/>
    </xf>
    <xf numFmtId="9" fontId="3" fillId="64" borderId="30" xfId="0" applyNumberFormat="1" applyFont="1" applyFill="1" applyBorder="1" applyAlignment="1">
      <alignment horizontal="right"/>
    </xf>
    <xf numFmtId="0" fontId="3" fillId="64" borderId="31" xfId="0" applyFont="1" applyFill="1" applyBorder="1" applyAlignment="1">
      <alignment horizontal="right"/>
    </xf>
    <xf numFmtId="9" fontId="3" fillId="64" borderId="27" xfId="0" applyNumberFormat="1" applyFont="1" applyFill="1" applyBorder="1" applyAlignment="1">
      <alignment horizontal="right"/>
    </xf>
    <xf numFmtId="0" fontId="45" fillId="65" borderId="27" xfId="0" applyFont="1" applyFill="1" applyBorder="1" applyAlignment="1"/>
    <xf numFmtId="0" fontId="45" fillId="65" borderId="31" xfId="0" applyFont="1" applyFill="1" applyBorder="1" applyAlignment="1">
      <alignment vertical="top"/>
    </xf>
    <xf numFmtId="0" fontId="45" fillId="65" borderId="32" xfId="0" applyFont="1" applyFill="1" applyBorder="1" applyAlignment="1">
      <alignment horizontal="right" vertical="center" wrapText="1"/>
    </xf>
    <xf numFmtId="0" fontId="3" fillId="64" borderId="27" xfId="0" applyFont="1" applyFill="1" applyBorder="1" applyAlignment="1">
      <alignment horizontal="right"/>
    </xf>
    <xf numFmtId="0" fontId="45" fillId="65" borderId="34" xfId="0" applyFont="1" applyFill="1" applyBorder="1" applyAlignment="1">
      <alignment horizontal="right" vertical="center" wrapText="1"/>
    </xf>
    <xf numFmtId="9" fontId="3" fillId="64" borderId="40" xfId="0" applyNumberFormat="1" applyFont="1" applyFill="1" applyBorder="1" applyAlignment="1">
      <alignment horizontal="right"/>
    </xf>
    <xf numFmtId="0" fontId="2" fillId="65" borderId="30" xfId="0" applyFont="1" applyFill="1" applyBorder="1" applyAlignment="1">
      <alignment vertical="center" wrapText="1"/>
    </xf>
    <xf numFmtId="0" fontId="2" fillId="65" borderId="31" xfId="0" applyFont="1" applyFill="1" applyBorder="1" applyAlignment="1">
      <alignment vertical="center" wrapText="1"/>
    </xf>
    <xf numFmtId="0" fontId="2" fillId="65" borderId="27" xfId="0" applyFont="1" applyFill="1" applyBorder="1" applyAlignment="1">
      <alignment vertical="center"/>
    </xf>
    <xf numFmtId="0" fontId="2" fillId="65" borderId="30" xfId="0" applyFont="1" applyFill="1" applyBorder="1" applyAlignment="1">
      <alignment vertical="center"/>
    </xf>
    <xf numFmtId="0" fontId="2" fillId="65" borderId="31" xfId="0" applyFont="1" applyFill="1" applyBorder="1" applyAlignment="1">
      <alignment vertical="center"/>
    </xf>
    <xf numFmtId="0" fontId="2" fillId="65" borderId="27" xfId="0" applyFont="1" applyFill="1" applyBorder="1" applyAlignment="1">
      <alignment vertical="center" wrapText="1"/>
    </xf>
    <xf numFmtId="0" fontId="45" fillId="65" borderId="34" xfId="0" applyFont="1" applyFill="1" applyBorder="1" applyAlignment="1">
      <alignment horizontal="right" vertical="top"/>
    </xf>
    <xf numFmtId="0" fontId="3" fillId="64" borderId="39" xfId="0" applyFont="1" applyFill="1" applyBorder="1" applyAlignment="1">
      <alignment horizontal="right" vertical="top"/>
    </xf>
    <xf numFmtId="0" fontId="3" fillId="64" borderId="37" xfId="0" applyFont="1" applyFill="1" applyBorder="1" applyAlignment="1">
      <alignment horizontal="right" vertical="center"/>
    </xf>
    <xf numFmtId="0" fontId="3" fillId="64" borderId="41" xfId="0" applyFont="1" applyFill="1" applyBorder="1" applyAlignment="1">
      <alignment horizontal="right" vertical="center"/>
    </xf>
    <xf numFmtId="0" fontId="3" fillId="64" borderId="42" xfId="0" applyFont="1" applyFill="1" applyBorder="1" applyAlignment="1">
      <alignment horizontal="right" vertical="center"/>
    </xf>
    <xf numFmtId="0" fontId="3" fillId="64" borderId="0" xfId="0" applyFont="1" applyFill="1" applyBorder="1" applyAlignment="1">
      <alignment horizontal="right" vertical="center"/>
    </xf>
    <xf numFmtId="0" fontId="3" fillId="64" borderId="30" xfId="0" applyFont="1" applyFill="1" applyBorder="1" applyAlignment="1">
      <alignment horizontal="right" vertical="center"/>
    </xf>
    <xf numFmtId="0" fontId="3" fillId="64" borderId="43" xfId="0" applyFont="1" applyFill="1" applyBorder="1" applyAlignment="1">
      <alignment horizontal="right" vertical="center"/>
    </xf>
    <xf numFmtId="0" fontId="3" fillId="64" borderId="44" xfId="0" applyFont="1" applyFill="1" applyBorder="1" applyAlignment="1">
      <alignment horizontal="right" vertical="center"/>
    </xf>
    <xf numFmtId="0" fontId="3" fillId="64" borderId="27" xfId="0" applyFont="1" applyFill="1" applyBorder="1" applyAlignment="1">
      <alignment vertical="center"/>
    </xf>
    <xf numFmtId="0" fontId="52" fillId="65" borderId="45" xfId="0" applyFont="1" applyFill="1" applyBorder="1" applyAlignment="1">
      <alignment vertical="top"/>
    </xf>
    <xf numFmtId="0" fontId="3" fillId="64" borderId="46" xfId="0" applyFont="1" applyFill="1" applyBorder="1" applyAlignment="1">
      <alignment horizontal="right" vertical="top"/>
    </xf>
    <xf numFmtId="9" fontId="3" fillId="64" borderId="47" xfId="0" applyNumberFormat="1" applyFont="1" applyFill="1" applyBorder="1" applyAlignment="1">
      <alignment horizontal="right" vertical="top"/>
    </xf>
    <xf numFmtId="0" fontId="3" fillId="64" borderId="37" xfId="704" applyFont="1" applyFill="1" applyBorder="1" applyAlignment="1">
      <alignment wrapText="1"/>
    </xf>
    <xf numFmtId="0" fontId="2" fillId="65" borderId="0" xfId="0" applyFont="1" applyFill="1" applyBorder="1" applyAlignment="1">
      <alignment vertical="center" wrapText="1"/>
    </xf>
    <xf numFmtId="0" fontId="2" fillId="65" borderId="32" xfId="0" applyFont="1" applyFill="1" applyBorder="1" applyAlignment="1">
      <alignment vertical="center" wrapText="1"/>
    </xf>
    <xf numFmtId="0" fontId="2" fillId="65" borderId="33" xfId="0" applyFont="1" applyFill="1" applyBorder="1" applyAlignment="1">
      <alignment vertical="center" wrapText="1"/>
    </xf>
    <xf numFmtId="0" fontId="2" fillId="65" borderId="34" xfId="0" applyFont="1" applyFill="1" applyBorder="1" applyAlignment="1">
      <alignment vertical="center" wrapText="1"/>
    </xf>
    <xf numFmtId="0" fontId="51" fillId="0" borderId="0" xfId="0" applyFont="1" applyAlignment="1"/>
    <xf numFmtId="0" fontId="3" fillId="64" borderId="48" xfId="0" applyFont="1" applyFill="1" applyBorder="1" applyAlignment="1">
      <alignment horizontal="right" vertical="center"/>
    </xf>
    <xf numFmtId="9" fontId="3" fillId="64" borderId="49" xfId="0" applyNumberFormat="1" applyFont="1" applyFill="1" applyBorder="1" applyAlignment="1"/>
    <xf numFmtId="9" fontId="3" fillId="64" borderId="39" xfId="0" applyNumberFormat="1" applyFont="1" applyFill="1" applyBorder="1" applyAlignment="1"/>
    <xf numFmtId="0" fontId="3" fillId="64" borderId="31" xfId="0" applyFont="1" applyFill="1" applyBorder="1" applyAlignment="1">
      <alignment horizontal="right" vertical="center"/>
    </xf>
    <xf numFmtId="9" fontId="3" fillId="64" borderId="31" xfId="0" applyNumberFormat="1" applyFont="1" applyFill="1" applyBorder="1" applyAlignment="1">
      <alignment horizontal="right"/>
    </xf>
    <xf numFmtId="0" fontId="46" fillId="64" borderId="50" xfId="0" applyFont="1" applyFill="1" applyBorder="1" applyAlignment="1">
      <alignment horizontal="center" vertical="center" wrapText="1"/>
    </xf>
    <xf numFmtId="9" fontId="50" fillId="64" borderId="37" xfId="850" applyNumberFormat="1" applyFont="1" applyFill="1" applyBorder="1" applyAlignment="1">
      <alignment horizontal="center"/>
    </xf>
    <xf numFmtId="9" fontId="0" fillId="0" borderId="0" xfId="0" applyNumberFormat="1" applyFont="1" applyAlignment="1"/>
    <xf numFmtId="0" fontId="49" fillId="0" borderId="37" xfId="0" applyFont="1" applyBorder="1" applyAlignment="1"/>
    <xf numFmtId="0" fontId="7" fillId="65" borderId="34" xfId="0" applyFont="1" applyFill="1" applyBorder="1" applyAlignment="1">
      <alignment horizontal="right" vertical="top"/>
    </xf>
    <xf numFmtId="0" fontId="0" fillId="0" borderId="0" xfId="0" applyFont="1" applyAlignment="1"/>
    <xf numFmtId="0" fontId="0" fillId="0" borderId="51" xfId="0" applyFont="1" applyBorder="1" applyAlignment="1"/>
    <xf numFmtId="0" fontId="48" fillId="63" borderId="46" xfId="0" applyFont="1" applyFill="1" applyBorder="1" applyAlignment="1">
      <alignment horizontal="center"/>
    </xf>
    <xf numFmtId="0" fontId="0" fillId="66" borderId="0" xfId="0" applyFont="1" applyFill="1" applyAlignment="1"/>
    <xf numFmtId="0" fontId="47" fillId="0" borderId="0" xfId="0" applyFont="1" applyAlignment="1"/>
    <xf numFmtId="0" fontId="3" fillId="0" borderId="52" xfId="704" applyFont="1" applyBorder="1" applyAlignment="1">
      <alignment wrapText="1" readingOrder="2"/>
    </xf>
    <xf numFmtId="0" fontId="3" fillId="0" borderId="53" xfId="704" applyFont="1" applyBorder="1" applyAlignment="1">
      <alignment wrapText="1" readingOrder="2"/>
    </xf>
    <xf numFmtId="0" fontId="3" fillId="0" borderId="54" xfId="704" applyFont="1" applyBorder="1" applyAlignment="1">
      <alignment wrapText="1" readingOrder="2"/>
    </xf>
    <xf numFmtId="0" fontId="3" fillId="0" borderId="55" xfId="704" applyFont="1" applyBorder="1" applyAlignment="1">
      <alignment wrapText="1" readingOrder="2"/>
    </xf>
    <xf numFmtId="0" fontId="78" fillId="64" borderId="37" xfId="0" applyFont="1" applyFill="1" applyBorder="1" applyAlignment="1">
      <alignment horizontal="center"/>
    </xf>
    <xf numFmtId="9" fontId="78" fillId="64" borderId="37" xfId="0" applyNumberFormat="1" applyFont="1" applyFill="1" applyBorder="1" applyAlignment="1">
      <alignment horizontal="center"/>
    </xf>
    <xf numFmtId="0" fontId="54" fillId="67" borderId="57" xfId="0" applyFont="1" applyFill="1" applyBorder="1" applyAlignment="1">
      <alignment horizontal="center" vertical="center" wrapText="1"/>
    </xf>
    <xf numFmtId="10" fontId="3" fillId="64" borderId="37" xfId="0" applyNumberFormat="1" applyFont="1" applyFill="1" applyBorder="1" applyAlignment="1">
      <alignment horizontal="center"/>
    </xf>
    <xf numFmtId="10" fontId="53" fillId="64" borderId="37" xfId="850" applyNumberFormat="1" applyFont="1" applyFill="1" applyBorder="1" applyAlignment="1">
      <alignment horizontal="center"/>
    </xf>
    <xf numFmtId="0" fontId="0" fillId="0" borderId="0" xfId="0"/>
    <xf numFmtId="0" fontId="48" fillId="68" borderId="27" xfId="0" applyFont="1" applyFill="1" applyBorder="1" applyAlignment="1">
      <alignment horizontal="center"/>
    </xf>
    <xf numFmtId="9" fontId="3" fillId="69" borderId="27" xfId="843" applyFont="1" applyFill="1" applyBorder="1" applyAlignment="1">
      <alignment vertical="center" wrapText="1"/>
    </xf>
    <xf numFmtId="9" fontId="3" fillId="69" borderId="35" xfId="843" applyFont="1" applyFill="1" applyBorder="1" applyAlignment="1">
      <alignment horizontal="right"/>
    </xf>
    <xf numFmtId="9" fontId="3" fillId="69" borderId="30" xfId="0" applyNumberFormat="1" applyFont="1" applyFill="1" applyBorder="1" applyAlignment="1">
      <alignment vertical="center"/>
    </xf>
    <xf numFmtId="9" fontId="3" fillId="69" borderId="31" xfId="0" applyNumberFormat="1" applyFont="1" applyFill="1" applyBorder="1" applyAlignment="1">
      <alignment vertical="center"/>
    </xf>
    <xf numFmtId="9" fontId="3" fillId="69" borderId="27" xfId="0" applyNumberFormat="1" applyFont="1" applyFill="1" applyBorder="1" applyAlignment="1"/>
    <xf numFmtId="9" fontId="3" fillId="69" borderId="31" xfId="0" applyNumberFormat="1" applyFont="1" applyFill="1" applyBorder="1" applyAlignment="1"/>
    <xf numFmtId="9" fontId="3" fillId="69" borderId="30" xfId="843" applyFont="1" applyFill="1" applyBorder="1" applyAlignment="1">
      <alignment vertical="center" wrapText="1"/>
    </xf>
    <xf numFmtId="9" fontId="3" fillId="69" borderId="31" xfId="843" applyFont="1" applyFill="1" applyBorder="1" applyAlignment="1">
      <alignment vertical="center" wrapText="1"/>
    </xf>
    <xf numFmtId="9" fontId="3" fillId="69" borderId="30" xfId="843" applyFont="1" applyFill="1" applyBorder="1" applyAlignment="1">
      <alignment horizontal="right"/>
    </xf>
    <xf numFmtId="9" fontId="3" fillId="69" borderId="39" xfId="843" applyFont="1" applyFill="1" applyBorder="1" applyAlignment="1">
      <alignment horizontal="right" vertical="top"/>
    </xf>
    <xf numFmtId="9" fontId="3" fillId="69" borderId="27" xfId="0" applyNumberFormat="1" applyFont="1" applyFill="1" applyBorder="1" applyAlignment="1">
      <alignment horizontal="right"/>
    </xf>
    <xf numFmtId="9" fontId="3" fillId="69" borderId="30" xfId="0" applyNumberFormat="1" applyFont="1" applyFill="1" applyBorder="1" applyAlignment="1">
      <alignment horizontal="right"/>
    </xf>
    <xf numFmtId="9" fontId="3" fillId="69" borderId="47" xfId="0" applyNumberFormat="1" applyFont="1" applyFill="1" applyBorder="1" applyAlignment="1">
      <alignment horizontal="right" vertical="top"/>
    </xf>
    <xf numFmtId="9" fontId="3" fillId="69" borderId="40" xfId="0" applyNumberFormat="1" applyFont="1" applyFill="1" applyBorder="1" applyAlignment="1">
      <alignment horizontal="right"/>
    </xf>
    <xf numFmtId="10" fontId="3" fillId="69" borderId="27" xfId="0" applyNumberFormat="1" applyFont="1" applyFill="1" applyBorder="1" applyAlignment="1"/>
    <xf numFmtId="10" fontId="3" fillId="69" borderId="30" xfId="0" applyNumberFormat="1" applyFont="1" applyFill="1" applyBorder="1" applyAlignment="1"/>
    <xf numFmtId="10" fontId="3" fillId="69" borderId="31" xfId="0" applyNumberFormat="1" applyFont="1" applyFill="1" applyBorder="1" applyAlignment="1"/>
    <xf numFmtId="9" fontId="3" fillId="0" borderId="0" xfId="843" applyFont="1" applyFill="1" applyBorder="1" applyAlignment="1">
      <alignment horizontal="right" vertical="top"/>
    </xf>
    <xf numFmtId="0" fontId="79" fillId="0" borderId="0" xfId="0" applyFont="1" applyAlignment="1"/>
    <xf numFmtId="9" fontId="80" fillId="0" borderId="0" xfId="0" applyNumberFormat="1" applyFont="1" applyAlignment="1"/>
    <xf numFmtId="9" fontId="79" fillId="64" borderId="37" xfId="850" applyNumberFormat="1" applyFont="1" applyFill="1" applyBorder="1" applyAlignment="1">
      <alignment horizontal="center"/>
    </xf>
    <xf numFmtId="0" fontId="80" fillId="0" borderId="0" xfId="0" applyFont="1" applyAlignment="1"/>
    <xf numFmtId="9" fontId="81" fillId="64" borderId="37" xfId="850" applyNumberFormat="1" applyFont="1" applyFill="1" applyBorder="1" applyAlignment="1">
      <alignment horizontal="center"/>
    </xf>
    <xf numFmtId="9" fontId="81" fillId="64" borderId="37" xfId="843" applyFont="1" applyFill="1" applyBorder="1" applyAlignment="1">
      <alignment horizontal="center"/>
    </xf>
    <xf numFmtId="9" fontId="80" fillId="64" borderId="37" xfId="843" applyFont="1" applyFill="1" applyBorder="1" applyAlignment="1">
      <alignment horizontal="center"/>
    </xf>
    <xf numFmtId="9" fontId="82" fillId="64" borderId="37" xfId="0" applyNumberFormat="1" applyFont="1" applyFill="1" applyBorder="1" applyAlignment="1">
      <alignment horizontal="center"/>
    </xf>
    <xf numFmtId="10" fontId="82" fillId="64" borderId="37" xfId="0" applyNumberFormat="1" applyFont="1" applyFill="1" applyBorder="1" applyAlignment="1">
      <alignment horizontal="center"/>
    </xf>
    <xf numFmtId="0" fontId="82" fillId="64" borderId="37" xfId="0" applyFont="1" applyFill="1" applyBorder="1" applyAlignment="1">
      <alignment horizontal="center"/>
    </xf>
    <xf numFmtId="9" fontId="53" fillId="64" borderId="37" xfId="843" applyFont="1" applyFill="1" applyBorder="1" applyAlignment="1">
      <alignment horizontal="center"/>
    </xf>
    <xf numFmtId="10" fontId="83" fillId="64" borderId="37" xfId="0" applyNumberFormat="1" applyFont="1" applyFill="1" applyBorder="1" applyAlignment="1">
      <alignment horizontal="center"/>
    </xf>
    <xf numFmtId="9" fontId="84" fillId="64" borderId="37" xfId="843" applyFont="1" applyFill="1" applyBorder="1" applyAlignment="1">
      <alignment horizontal="center"/>
    </xf>
    <xf numFmtId="9" fontId="80" fillId="0" borderId="0" xfId="843" applyFont="1" applyAlignment="1"/>
    <xf numFmtId="10" fontId="79" fillId="64" borderId="37" xfId="843" applyNumberFormat="1" applyFont="1" applyFill="1" applyBorder="1" applyAlignment="1">
      <alignment horizontal="center"/>
    </xf>
    <xf numFmtId="10" fontId="80" fillId="64" borderId="37" xfId="843" applyNumberFormat="1" applyFont="1" applyFill="1" applyBorder="1" applyAlignment="1">
      <alignment horizontal="center"/>
    </xf>
    <xf numFmtId="10" fontId="81" fillId="64" borderId="37" xfId="843" applyNumberFormat="1" applyFont="1" applyFill="1" applyBorder="1" applyAlignment="1">
      <alignment horizontal="center"/>
    </xf>
    <xf numFmtId="10" fontId="80" fillId="0" borderId="0" xfId="843" applyNumberFormat="1" applyFont="1" applyAlignment="1"/>
    <xf numFmtId="10" fontId="79" fillId="0" borderId="0" xfId="843" applyNumberFormat="1" applyFont="1" applyAlignment="1"/>
    <xf numFmtId="10" fontId="84" fillId="64" borderId="37" xfId="843" applyNumberFormat="1" applyFont="1" applyFill="1" applyBorder="1" applyAlignment="1">
      <alignment horizontal="center"/>
    </xf>
    <xf numFmtId="10" fontId="50" fillId="64" borderId="37" xfId="843" applyNumberFormat="1" applyFont="1" applyFill="1" applyBorder="1" applyAlignment="1">
      <alignment horizontal="center"/>
    </xf>
    <xf numFmtId="10" fontId="53" fillId="64" borderId="37" xfId="843" applyNumberFormat="1" applyFont="1" applyFill="1" applyBorder="1" applyAlignment="1">
      <alignment horizontal="center"/>
    </xf>
    <xf numFmtId="0" fontId="0" fillId="0" borderId="37" xfId="0" applyBorder="1"/>
    <xf numFmtId="0" fontId="5" fillId="0" borderId="37" xfId="0" applyFont="1" applyBorder="1"/>
    <xf numFmtId="0" fontId="3" fillId="0" borderId="26" xfId="704" applyFont="1" applyBorder="1" applyAlignment="1">
      <alignment horizontal="right" wrapText="1" readingOrder="2"/>
    </xf>
    <xf numFmtId="0" fontId="3" fillId="0" borderId="52" xfId="704" applyFont="1" applyBorder="1" applyAlignment="1">
      <alignment horizontal="right" wrapText="1" readingOrder="2"/>
    </xf>
    <xf numFmtId="0" fontId="3" fillId="0" borderId="53" xfId="704" applyFont="1" applyBorder="1" applyAlignment="1">
      <alignment horizontal="right" wrapText="1" readingOrder="2"/>
    </xf>
    <xf numFmtId="0" fontId="3" fillId="0" borderId="56" xfId="704" applyFont="1" applyBorder="1" applyAlignment="1">
      <alignment horizontal="right" wrapText="1" readingOrder="2"/>
    </xf>
    <xf numFmtId="0" fontId="3" fillId="0" borderId="54" xfId="704" applyFont="1" applyBorder="1" applyAlignment="1">
      <alignment horizontal="right" wrapText="1" readingOrder="2"/>
    </xf>
    <xf numFmtId="0" fontId="3" fillId="0" borderId="55" xfId="704" applyFont="1" applyBorder="1" applyAlignment="1">
      <alignment horizontal="right" wrapText="1" readingOrder="2"/>
    </xf>
    <xf numFmtId="0" fontId="3" fillId="64" borderId="27" xfId="0" applyFont="1" applyFill="1" applyBorder="1" applyAlignment="1">
      <alignment horizontal="right" vertical="top"/>
    </xf>
    <xf numFmtId="0" fontId="3" fillId="64" borderId="31" xfId="0" applyFont="1" applyFill="1" applyBorder="1" applyAlignment="1">
      <alignment horizontal="right" vertical="top"/>
    </xf>
    <xf numFmtId="0" fontId="3" fillId="64" borderId="27" xfId="0" applyFont="1" applyFill="1" applyBorder="1" applyAlignment="1">
      <alignment horizontal="center" vertical="center" wrapText="1"/>
    </xf>
    <xf numFmtId="0" fontId="3" fillId="64" borderId="31" xfId="0" applyFont="1" applyFill="1" applyBorder="1" applyAlignment="1">
      <alignment horizontal="center" vertical="center" wrapText="1"/>
    </xf>
    <xf numFmtId="0" fontId="3" fillId="0" borderId="26" xfId="704" applyFont="1" applyBorder="1" applyAlignment="1">
      <alignment horizontal="center" wrapText="1" readingOrder="2"/>
    </xf>
    <xf numFmtId="0" fontId="3" fillId="0" borderId="52" xfId="704" applyFont="1" applyBorder="1" applyAlignment="1">
      <alignment horizontal="center" wrapText="1" readingOrder="2"/>
    </xf>
    <xf numFmtId="0" fontId="3" fillId="0" borderId="56" xfId="704" applyFont="1" applyBorder="1" applyAlignment="1">
      <alignment horizontal="center" wrapText="1" readingOrder="2"/>
    </xf>
    <xf numFmtId="0" fontId="3" fillId="0" borderId="54" xfId="704" applyFont="1" applyBorder="1" applyAlignment="1">
      <alignment horizontal="center" wrapText="1" readingOrder="2"/>
    </xf>
    <xf numFmtId="9" fontId="3" fillId="64" borderId="27" xfId="0" applyNumberFormat="1" applyFont="1" applyFill="1" applyBorder="1" applyAlignment="1">
      <alignment horizontal="right" vertical="top"/>
    </xf>
    <xf numFmtId="9" fontId="3" fillId="64" borderId="31" xfId="0" applyNumberFormat="1" applyFont="1" applyFill="1" applyBorder="1" applyAlignment="1">
      <alignment horizontal="right" vertical="top"/>
    </xf>
    <xf numFmtId="0" fontId="46" fillId="64" borderId="27" xfId="0" applyFont="1" applyFill="1" applyBorder="1" applyAlignment="1">
      <alignment horizontal="center" vertical="center" wrapText="1"/>
    </xf>
    <xf numFmtId="0" fontId="46" fillId="64" borderId="30" xfId="0" applyFont="1" applyFill="1" applyBorder="1" applyAlignment="1">
      <alignment horizontal="center" vertical="center" wrapText="1"/>
    </xf>
    <xf numFmtId="0" fontId="3" fillId="64" borderId="30" xfId="0" applyFont="1" applyFill="1" applyBorder="1" applyAlignment="1">
      <alignment horizontal="center" vertical="center" wrapText="1"/>
    </xf>
    <xf numFmtId="0" fontId="46" fillId="64" borderId="31" xfId="0" applyFont="1" applyFill="1" applyBorder="1" applyAlignment="1">
      <alignment horizontal="center" vertical="center" wrapText="1"/>
    </xf>
    <xf numFmtId="0" fontId="45" fillId="65" borderId="30" xfId="0" applyFont="1" applyFill="1" applyBorder="1" applyAlignment="1">
      <alignment horizontal="right" vertical="top"/>
    </xf>
    <xf numFmtId="0" fontId="45" fillId="65" borderId="31" xfId="0" applyFont="1" applyFill="1" applyBorder="1" applyAlignment="1">
      <alignment horizontal="right" vertical="top"/>
    </xf>
    <xf numFmtId="9" fontId="3" fillId="69" borderId="27" xfId="0" applyNumberFormat="1" applyFont="1" applyFill="1" applyBorder="1" applyAlignment="1">
      <alignment horizontal="right" vertical="top"/>
    </xf>
    <xf numFmtId="9" fontId="3" fillId="69" borderId="31" xfId="0" applyNumberFormat="1" applyFont="1" applyFill="1" applyBorder="1" applyAlignment="1">
      <alignment horizontal="right" vertical="top"/>
    </xf>
    <xf numFmtId="10" fontId="3" fillId="69" borderId="27" xfId="0" applyNumberFormat="1" applyFont="1" applyFill="1" applyBorder="1" applyAlignment="1">
      <alignment horizontal="center"/>
    </xf>
    <xf numFmtId="10" fontId="3" fillId="69" borderId="30" xfId="0" applyNumberFormat="1" applyFont="1" applyFill="1" applyBorder="1" applyAlignment="1">
      <alignment horizontal="center"/>
    </xf>
    <xf numFmtId="10" fontId="3" fillId="69" borderId="31" xfId="0" applyNumberFormat="1" applyFont="1" applyFill="1" applyBorder="1" applyAlignment="1">
      <alignment horizontal="center"/>
    </xf>
    <xf numFmtId="10" fontId="3" fillId="69" borderId="27" xfId="843" applyNumberFormat="1" applyFont="1" applyFill="1" applyBorder="1" applyAlignment="1">
      <alignment horizontal="center"/>
    </xf>
    <xf numFmtId="10" fontId="3" fillId="69" borderId="30" xfId="843" applyNumberFormat="1" applyFont="1" applyFill="1" applyBorder="1" applyAlignment="1">
      <alignment horizontal="center"/>
    </xf>
    <xf numFmtId="10" fontId="3" fillId="69" borderId="31" xfId="843" applyNumberFormat="1" applyFont="1" applyFill="1" applyBorder="1" applyAlignment="1">
      <alignment horizontal="center"/>
    </xf>
    <xf numFmtId="9" fontId="3" fillId="0" borderId="0" xfId="0" applyNumberFormat="1" applyFont="1" applyFill="1" applyBorder="1" applyAlignment="1">
      <alignment horizontal="center"/>
    </xf>
    <xf numFmtId="9" fontId="3" fillId="69" borderId="27" xfId="843" applyFont="1" applyFill="1" applyBorder="1" applyAlignment="1">
      <alignment horizontal="center"/>
    </xf>
    <xf numFmtId="9" fontId="3" fillId="69" borderId="30" xfId="843" applyFont="1" applyFill="1" applyBorder="1" applyAlignment="1">
      <alignment horizontal="center"/>
    </xf>
    <xf numFmtId="9" fontId="3" fillId="69" borderId="31" xfId="843" applyFont="1" applyFill="1" applyBorder="1" applyAlignment="1">
      <alignment horizontal="center"/>
    </xf>
    <xf numFmtId="9" fontId="3" fillId="69" borderId="27" xfId="0" applyNumberFormat="1" applyFont="1" applyFill="1" applyBorder="1" applyAlignment="1">
      <alignment horizontal="center"/>
    </xf>
    <xf numFmtId="9" fontId="3" fillId="69" borderId="30" xfId="0" applyNumberFormat="1" applyFont="1" applyFill="1" applyBorder="1" applyAlignment="1">
      <alignment horizontal="center"/>
    </xf>
    <xf numFmtId="9" fontId="3" fillId="69" borderId="31" xfId="0" applyNumberFormat="1" applyFont="1" applyFill="1" applyBorder="1" applyAlignment="1">
      <alignment horizontal="center"/>
    </xf>
  </cellXfs>
  <cellStyles count="1039">
    <cellStyle name="20% - Accent1" xfId="1"/>
    <cellStyle name="20% - Accent1 2" xfId="2"/>
    <cellStyle name="20% - Accent1 3" xfId="3"/>
    <cellStyle name="20% - Accent1 4" xfId="4"/>
    <cellStyle name="20% - Accent1 5" xfId="5"/>
    <cellStyle name="20% - Accent1 6" xfId="6"/>
    <cellStyle name="20% - Accent2" xfId="7"/>
    <cellStyle name="20% - Accent2 2" xfId="8"/>
    <cellStyle name="20% - Accent2 3" xfId="9"/>
    <cellStyle name="20% - Accent2 4" xfId="10"/>
    <cellStyle name="20% - Accent2 5" xfId="11"/>
    <cellStyle name="20% - Accent2 6" xfId="12"/>
    <cellStyle name="20% - Accent3" xfId="13"/>
    <cellStyle name="20% - Accent3 2" xfId="14"/>
    <cellStyle name="20% - Accent3 3" xfId="15"/>
    <cellStyle name="20% - Accent3 4" xfId="16"/>
    <cellStyle name="20% - Accent3 5" xfId="17"/>
    <cellStyle name="20% - Accent3 6" xfId="18"/>
    <cellStyle name="20% - Accent4" xfId="19"/>
    <cellStyle name="20% - Accent4 2" xfId="20"/>
    <cellStyle name="20% - Accent4 3" xfId="21"/>
    <cellStyle name="20% - Accent4 4" xfId="22"/>
    <cellStyle name="20% - Accent4 5" xfId="23"/>
    <cellStyle name="20% - Accent4 6" xfId="24"/>
    <cellStyle name="20% - Accent5" xfId="25"/>
    <cellStyle name="20% - Accent5 2" xfId="26"/>
    <cellStyle name="20% - Accent5 3" xfId="27"/>
    <cellStyle name="20% - Accent5 4" xfId="28"/>
    <cellStyle name="20% - Accent5 5" xfId="29"/>
    <cellStyle name="20% - Accent5 6" xfId="30"/>
    <cellStyle name="20% - Accent6" xfId="31"/>
    <cellStyle name="20% - Accent6 2" xfId="32"/>
    <cellStyle name="20% - Accent6 3" xfId="33"/>
    <cellStyle name="20% - Accent6 4" xfId="34"/>
    <cellStyle name="20% - Accent6 5" xfId="35"/>
    <cellStyle name="20% - Accent6 6" xfId="36"/>
    <cellStyle name="20% - הדגשה1" xfId="37"/>
    <cellStyle name="20% - הדגשה1 2" xfId="38"/>
    <cellStyle name="20% - הדגשה1 2 2" xfId="39"/>
    <cellStyle name="20% - הדגשה1 2 2 2" xfId="40"/>
    <cellStyle name="20% - הדגשה1 2 2 2 2" xfId="41"/>
    <cellStyle name="20% - הדגשה1 2 2 3" xfId="42"/>
    <cellStyle name="20% - הדגשה1 2 3" xfId="43"/>
    <cellStyle name="20% - הדגשה1 2 3 2" xfId="44"/>
    <cellStyle name="20% - הדגשה1 2 4" xfId="45"/>
    <cellStyle name="20% - הדגשה1 3" xfId="46"/>
    <cellStyle name="20% - הדגשה1 3 2" xfId="47"/>
    <cellStyle name="20% - הדגשה1 3 2 2" xfId="48"/>
    <cellStyle name="20% - הדגשה1 3 2 2 2" xfId="49"/>
    <cellStyle name="20% - הדגשה1 3 2 3" xfId="50"/>
    <cellStyle name="20% - הדגשה1 3 3" xfId="51"/>
    <cellStyle name="20% - הדגשה1 3 3 2" xfId="52"/>
    <cellStyle name="20% - הדגשה1 3 4" xfId="53"/>
    <cellStyle name="20% - הדגשה1 4" xfId="54"/>
    <cellStyle name="20% - הדגשה1 4 2" xfId="55"/>
    <cellStyle name="20% - הדגשה1 4 2 2" xfId="56"/>
    <cellStyle name="20% - הדגשה1 4 3" xfId="57"/>
    <cellStyle name="20% - הדגשה1 5" xfId="58"/>
    <cellStyle name="20% - הדגשה1 5 2" xfId="59"/>
    <cellStyle name="20% - הדגשה1 6" xfId="60"/>
    <cellStyle name="20% - הדגשה1 7" xfId="61"/>
    <cellStyle name="20% - הדגשה2" xfId="62"/>
    <cellStyle name="20% - הדגשה2 2" xfId="63"/>
    <cellStyle name="20% - הדגשה2 2 2" xfId="64"/>
    <cellStyle name="20% - הדגשה2 2 2 2" xfId="65"/>
    <cellStyle name="20% - הדגשה2 2 2 2 2" xfId="66"/>
    <cellStyle name="20% - הדגשה2 2 2 3" xfId="67"/>
    <cellStyle name="20% - הדגשה2 2 3" xfId="68"/>
    <cellStyle name="20% - הדגשה2 2 3 2" xfId="69"/>
    <cellStyle name="20% - הדגשה2 2 4" xfId="70"/>
    <cellStyle name="20% - הדגשה2 3" xfId="71"/>
    <cellStyle name="20% - הדגשה2 3 2" xfId="72"/>
    <cellStyle name="20% - הדגשה2 3 2 2" xfId="73"/>
    <cellStyle name="20% - הדגשה2 3 2 2 2" xfId="74"/>
    <cellStyle name="20% - הדגשה2 3 2 3" xfId="75"/>
    <cellStyle name="20% - הדגשה2 3 3" xfId="76"/>
    <cellStyle name="20% - הדגשה2 3 3 2" xfId="77"/>
    <cellStyle name="20% - הדגשה2 3 4" xfId="78"/>
    <cellStyle name="20% - הדגשה2 4" xfId="79"/>
    <cellStyle name="20% - הדגשה2 4 2" xfId="80"/>
    <cellStyle name="20% - הדגשה2 4 2 2" xfId="81"/>
    <cellStyle name="20% - הדגשה2 4 3" xfId="82"/>
    <cellStyle name="20% - הדגשה2 5" xfId="83"/>
    <cellStyle name="20% - הדגשה2 5 2" xfId="84"/>
    <cellStyle name="20% - הדגשה2 6" xfId="85"/>
    <cellStyle name="20% - הדגשה2 7" xfId="86"/>
    <cellStyle name="20% - הדגשה3" xfId="87"/>
    <cellStyle name="20% - הדגשה3 2" xfId="88"/>
    <cellStyle name="20% - הדגשה3 2 2" xfId="89"/>
    <cellStyle name="20% - הדגשה3 2 2 2" xfId="90"/>
    <cellStyle name="20% - הדגשה3 2 2 2 2" xfId="91"/>
    <cellStyle name="20% - הדגשה3 2 2 3" xfId="92"/>
    <cellStyle name="20% - הדגשה3 2 3" xfId="93"/>
    <cellStyle name="20% - הדגשה3 2 3 2" xfId="94"/>
    <cellStyle name="20% - הדגשה3 2 4" xfId="95"/>
    <cellStyle name="20% - הדגשה3 3" xfId="96"/>
    <cellStyle name="20% - הדגשה3 3 2" xfId="97"/>
    <cellStyle name="20% - הדגשה3 3 2 2" xfId="98"/>
    <cellStyle name="20% - הדגשה3 3 2 2 2" xfId="99"/>
    <cellStyle name="20% - הדגשה3 3 2 3" xfId="100"/>
    <cellStyle name="20% - הדגשה3 3 3" xfId="101"/>
    <cellStyle name="20% - הדגשה3 3 3 2" xfId="102"/>
    <cellStyle name="20% - הדגשה3 3 4" xfId="103"/>
    <cellStyle name="20% - הדגשה3 4" xfId="104"/>
    <cellStyle name="20% - הדגשה3 4 2" xfId="105"/>
    <cellStyle name="20% - הדגשה3 4 2 2" xfId="106"/>
    <cellStyle name="20% - הדגשה3 4 3" xfId="107"/>
    <cellStyle name="20% - הדגשה3 5" xfId="108"/>
    <cellStyle name="20% - הדגשה3 5 2" xfId="109"/>
    <cellStyle name="20% - הדגשה3 6" xfId="110"/>
    <cellStyle name="20% - הדגשה3 7" xfId="111"/>
    <cellStyle name="20% - הדגשה4" xfId="112"/>
    <cellStyle name="20% - הדגשה4 2" xfId="113"/>
    <cellStyle name="20% - הדגשה4 2 2" xfId="114"/>
    <cellStyle name="20% - הדגשה4 2 2 2" xfId="115"/>
    <cellStyle name="20% - הדגשה4 2 2 2 2" xfId="116"/>
    <cellStyle name="20% - הדגשה4 2 2 3" xfId="117"/>
    <cellStyle name="20% - הדגשה4 2 3" xfId="118"/>
    <cellStyle name="20% - הדגשה4 2 3 2" xfId="119"/>
    <cellStyle name="20% - הדגשה4 2 4" xfId="120"/>
    <cellStyle name="20% - הדגשה4 3" xfId="121"/>
    <cellStyle name="20% - הדגשה4 3 2" xfId="122"/>
    <cellStyle name="20% - הדגשה4 3 2 2" xfId="123"/>
    <cellStyle name="20% - הדגשה4 3 2 2 2" xfId="124"/>
    <cellStyle name="20% - הדגשה4 3 2 3" xfId="125"/>
    <cellStyle name="20% - הדגשה4 3 3" xfId="126"/>
    <cellStyle name="20% - הדגשה4 3 3 2" xfId="127"/>
    <cellStyle name="20% - הדגשה4 3 4" xfId="128"/>
    <cellStyle name="20% - הדגשה4 4" xfId="129"/>
    <cellStyle name="20% - הדגשה4 4 2" xfId="130"/>
    <cellStyle name="20% - הדגשה4 4 2 2" xfId="131"/>
    <cellStyle name="20% - הדגשה4 4 3" xfId="132"/>
    <cellStyle name="20% - הדגשה4 5" xfId="133"/>
    <cellStyle name="20% - הדגשה4 5 2" xfId="134"/>
    <cellStyle name="20% - הדגשה4 6" xfId="135"/>
    <cellStyle name="20% - הדגשה4 7" xfId="136"/>
    <cellStyle name="20% - הדגשה5" xfId="137"/>
    <cellStyle name="20% - הדגשה5 2" xfId="138"/>
    <cellStyle name="20% - הדגשה5 2 2" xfId="139"/>
    <cellStyle name="20% - הדגשה5 2 2 2" xfId="140"/>
    <cellStyle name="20% - הדגשה5 2 2 2 2" xfId="141"/>
    <cellStyle name="20% - הדגשה5 2 2 3" xfId="142"/>
    <cellStyle name="20% - הדגשה5 2 3" xfId="143"/>
    <cellStyle name="20% - הדגשה5 2 3 2" xfId="144"/>
    <cellStyle name="20% - הדגשה5 2 4" xfId="145"/>
    <cellStyle name="20% - הדגשה5 3" xfId="146"/>
    <cellStyle name="20% - הדגשה5 3 2" xfId="147"/>
    <cellStyle name="20% - הדגשה5 3 2 2" xfId="148"/>
    <cellStyle name="20% - הדגשה5 3 2 2 2" xfId="149"/>
    <cellStyle name="20% - הדגשה5 3 2 3" xfId="150"/>
    <cellStyle name="20% - הדגשה5 3 3" xfId="151"/>
    <cellStyle name="20% - הדגשה5 3 3 2" xfId="152"/>
    <cellStyle name="20% - הדגשה5 3 4" xfId="153"/>
    <cellStyle name="20% - הדגשה5 4" xfId="154"/>
    <cellStyle name="20% - הדגשה5 4 2" xfId="155"/>
    <cellStyle name="20% - הדגשה5 4 2 2" xfId="156"/>
    <cellStyle name="20% - הדגשה5 4 3" xfId="157"/>
    <cellStyle name="20% - הדגשה5 5" xfId="158"/>
    <cellStyle name="20% - הדגשה5 5 2" xfId="159"/>
    <cellStyle name="20% - הדגשה5 6" xfId="160"/>
    <cellStyle name="20% - הדגשה5 7" xfId="161"/>
    <cellStyle name="20% - הדגשה6" xfId="162"/>
    <cellStyle name="20% - הדגשה6 2" xfId="163"/>
    <cellStyle name="20% - הדגשה6 2 2" xfId="164"/>
    <cellStyle name="20% - הדגשה6 2 2 2" xfId="165"/>
    <cellStyle name="20% - הדגשה6 2 2 2 2" xfId="166"/>
    <cellStyle name="20% - הדגשה6 2 2 3" xfId="167"/>
    <cellStyle name="20% - הדגשה6 2 3" xfId="168"/>
    <cellStyle name="20% - הדגשה6 2 3 2" xfId="169"/>
    <cellStyle name="20% - הדגשה6 2 4" xfId="170"/>
    <cellStyle name="20% - הדגשה6 3" xfId="171"/>
    <cellStyle name="20% - הדגשה6 3 2" xfId="172"/>
    <cellStyle name="20% - הדגשה6 3 2 2" xfId="173"/>
    <cellStyle name="20% - הדגשה6 3 2 2 2" xfId="174"/>
    <cellStyle name="20% - הדגשה6 3 2 3" xfId="175"/>
    <cellStyle name="20% - הדגשה6 3 3" xfId="176"/>
    <cellStyle name="20% - הדגשה6 3 3 2" xfId="177"/>
    <cellStyle name="20% - הדגשה6 3 4" xfId="178"/>
    <cellStyle name="20% - הדגשה6 4" xfId="179"/>
    <cellStyle name="20% - הדגשה6 4 2" xfId="180"/>
    <cellStyle name="20% - הדגשה6 4 2 2" xfId="181"/>
    <cellStyle name="20% - הדגשה6 4 3" xfId="182"/>
    <cellStyle name="20% - הדגשה6 5" xfId="183"/>
    <cellStyle name="20% - הדגשה6 5 2" xfId="184"/>
    <cellStyle name="20% - הדגשה6 6" xfId="185"/>
    <cellStyle name="20% - הדגשה6 7" xfId="186"/>
    <cellStyle name="40% - Accent1" xfId="187"/>
    <cellStyle name="40% - Accent1 2" xfId="188"/>
    <cellStyle name="40% - Accent1 3" xfId="189"/>
    <cellStyle name="40% - Accent1 4" xfId="190"/>
    <cellStyle name="40% - Accent1 5" xfId="191"/>
    <cellStyle name="40% - Accent1 6" xfId="192"/>
    <cellStyle name="40% - Accent2" xfId="193"/>
    <cellStyle name="40% - Accent2 2" xfId="194"/>
    <cellStyle name="40% - Accent2 3" xfId="195"/>
    <cellStyle name="40% - Accent2 4" xfId="196"/>
    <cellStyle name="40% - Accent2 5" xfId="197"/>
    <cellStyle name="40% - Accent2 6" xfId="198"/>
    <cellStyle name="40% - Accent3" xfId="199"/>
    <cellStyle name="40% - Accent3 2" xfId="200"/>
    <cellStyle name="40% - Accent3 3" xfId="201"/>
    <cellStyle name="40% - Accent3 4" xfId="202"/>
    <cellStyle name="40% - Accent3 5" xfId="203"/>
    <cellStyle name="40% - Accent3 6" xfId="204"/>
    <cellStyle name="40% - Accent4" xfId="205"/>
    <cellStyle name="40% - Accent4 2" xfId="206"/>
    <cellStyle name="40% - Accent4 3" xfId="207"/>
    <cellStyle name="40% - Accent4 4" xfId="208"/>
    <cellStyle name="40% - Accent4 5" xfId="209"/>
    <cellStyle name="40% - Accent4 6" xfId="210"/>
    <cellStyle name="40% - Accent5" xfId="211"/>
    <cellStyle name="40% - Accent5 2" xfId="212"/>
    <cellStyle name="40% - Accent5 3" xfId="213"/>
    <cellStyle name="40% - Accent5 4" xfId="214"/>
    <cellStyle name="40% - Accent5 5" xfId="215"/>
    <cellStyle name="40% - Accent5 6" xfId="216"/>
    <cellStyle name="40% - Accent6" xfId="217"/>
    <cellStyle name="40% - Accent6 2" xfId="218"/>
    <cellStyle name="40% - Accent6 3" xfId="219"/>
    <cellStyle name="40% - Accent6 4" xfId="220"/>
    <cellStyle name="40% - Accent6 5" xfId="221"/>
    <cellStyle name="40% - Accent6 6" xfId="222"/>
    <cellStyle name="40% - הדגשה1" xfId="223"/>
    <cellStyle name="40% - הדגשה1 2" xfId="224"/>
    <cellStyle name="40% - הדגשה1 2 2" xfId="225"/>
    <cellStyle name="40% - הדגשה1 2 2 2" xfId="226"/>
    <cellStyle name="40% - הדגשה1 2 2 2 2" xfId="227"/>
    <cellStyle name="40% - הדגשה1 2 2 3" xfId="228"/>
    <cellStyle name="40% - הדגשה1 2 3" xfId="229"/>
    <cellStyle name="40% - הדגשה1 2 3 2" xfId="230"/>
    <cellStyle name="40% - הדגשה1 2 4" xfId="231"/>
    <cellStyle name="40% - הדגשה1 3" xfId="232"/>
    <cellStyle name="40% - הדגשה1 3 2" xfId="233"/>
    <cellStyle name="40% - הדגשה1 3 2 2" xfId="234"/>
    <cellStyle name="40% - הדגשה1 3 2 2 2" xfId="235"/>
    <cellStyle name="40% - הדגשה1 3 2 3" xfId="236"/>
    <cellStyle name="40% - הדגשה1 3 3" xfId="237"/>
    <cellStyle name="40% - הדגשה1 3 3 2" xfId="238"/>
    <cellStyle name="40% - הדגשה1 3 4" xfId="239"/>
    <cellStyle name="40% - הדגשה1 4" xfId="240"/>
    <cellStyle name="40% - הדגשה1 4 2" xfId="241"/>
    <cellStyle name="40% - הדגשה1 4 2 2" xfId="242"/>
    <cellStyle name="40% - הדגשה1 4 3" xfId="243"/>
    <cellStyle name="40% - הדגשה1 5" xfId="244"/>
    <cellStyle name="40% - הדגשה1 5 2" xfId="245"/>
    <cellStyle name="40% - הדגשה1 6" xfId="246"/>
    <cellStyle name="40% - הדגשה1 7" xfId="247"/>
    <cellStyle name="40% - הדגשה2" xfId="248"/>
    <cellStyle name="40% - הדגשה2 2" xfId="249"/>
    <cellStyle name="40% - הדגשה2 2 2" xfId="250"/>
    <cellStyle name="40% - הדגשה2 2 2 2" xfId="251"/>
    <cellStyle name="40% - הדגשה2 2 2 2 2" xfId="252"/>
    <cellStyle name="40% - הדגשה2 2 2 3" xfId="253"/>
    <cellStyle name="40% - הדגשה2 2 3" xfId="254"/>
    <cellStyle name="40% - הדגשה2 2 3 2" xfId="255"/>
    <cellStyle name="40% - הדגשה2 2 4" xfId="256"/>
    <cellStyle name="40% - הדגשה2 3" xfId="257"/>
    <cellStyle name="40% - הדגשה2 3 2" xfId="258"/>
    <cellStyle name="40% - הדגשה2 3 2 2" xfId="259"/>
    <cellStyle name="40% - הדגשה2 3 2 2 2" xfId="260"/>
    <cellStyle name="40% - הדגשה2 3 2 3" xfId="261"/>
    <cellStyle name="40% - הדגשה2 3 3" xfId="262"/>
    <cellStyle name="40% - הדגשה2 3 3 2" xfId="263"/>
    <cellStyle name="40% - הדגשה2 3 4" xfId="264"/>
    <cellStyle name="40% - הדגשה2 4" xfId="265"/>
    <cellStyle name="40% - הדגשה2 4 2" xfId="266"/>
    <cellStyle name="40% - הדגשה2 4 2 2" xfId="267"/>
    <cellStyle name="40% - הדגשה2 4 3" xfId="268"/>
    <cellStyle name="40% - הדגשה2 5" xfId="269"/>
    <cellStyle name="40% - הדגשה2 5 2" xfId="270"/>
    <cellStyle name="40% - הדגשה2 6" xfId="271"/>
    <cellStyle name="40% - הדגשה2 7" xfId="272"/>
    <cellStyle name="40% - הדגשה3" xfId="273"/>
    <cellStyle name="40% - הדגשה3 2" xfId="274"/>
    <cellStyle name="40% - הדגשה3 2 2" xfId="275"/>
    <cellStyle name="40% - הדגשה3 2 2 2" xfId="276"/>
    <cellStyle name="40% - הדגשה3 2 2 2 2" xfId="277"/>
    <cellStyle name="40% - הדגשה3 2 2 3" xfId="278"/>
    <cellStyle name="40% - הדגשה3 2 3" xfId="279"/>
    <cellStyle name="40% - הדגשה3 2 3 2" xfId="280"/>
    <cellStyle name="40% - הדגשה3 2 4" xfId="281"/>
    <cellStyle name="40% - הדגשה3 3" xfId="282"/>
    <cellStyle name="40% - הדגשה3 3 2" xfId="283"/>
    <cellStyle name="40% - הדגשה3 3 2 2" xfId="284"/>
    <cellStyle name="40% - הדגשה3 3 2 2 2" xfId="285"/>
    <cellStyle name="40% - הדגשה3 3 2 3" xfId="286"/>
    <cellStyle name="40% - הדגשה3 3 3" xfId="287"/>
    <cellStyle name="40% - הדגשה3 3 3 2" xfId="288"/>
    <cellStyle name="40% - הדגשה3 3 4" xfId="289"/>
    <cellStyle name="40% - הדגשה3 4" xfId="290"/>
    <cellStyle name="40% - הדגשה3 4 2" xfId="291"/>
    <cellStyle name="40% - הדגשה3 4 2 2" xfId="292"/>
    <cellStyle name="40% - הדגשה3 4 3" xfId="293"/>
    <cellStyle name="40% - הדגשה3 5" xfId="294"/>
    <cellStyle name="40% - הדגשה3 5 2" xfId="295"/>
    <cellStyle name="40% - הדגשה3 6" xfId="296"/>
    <cellStyle name="40% - הדגשה3 7" xfId="297"/>
    <cellStyle name="40% - הדגשה4" xfId="298"/>
    <cellStyle name="40% - הדגשה4 2" xfId="299"/>
    <cellStyle name="40% - הדגשה4 2 2" xfId="300"/>
    <cellStyle name="40% - הדגשה4 2 2 2" xfId="301"/>
    <cellStyle name="40% - הדגשה4 2 2 2 2" xfId="302"/>
    <cellStyle name="40% - הדגשה4 2 2 3" xfId="303"/>
    <cellStyle name="40% - הדגשה4 2 3" xfId="304"/>
    <cellStyle name="40% - הדגשה4 2 3 2" xfId="305"/>
    <cellStyle name="40% - הדגשה4 2 4" xfId="306"/>
    <cellStyle name="40% - הדגשה4 3" xfId="307"/>
    <cellStyle name="40% - הדגשה4 3 2" xfId="308"/>
    <cellStyle name="40% - הדגשה4 3 2 2" xfId="309"/>
    <cellStyle name="40% - הדגשה4 3 2 2 2" xfId="310"/>
    <cellStyle name="40% - הדגשה4 3 2 3" xfId="311"/>
    <cellStyle name="40% - הדגשה4 3 3" xfId="312"/>
    <cellStyle name="40% - הדגשה4 3 3 2" xfId="313"/>
    <cellStyle name="40% - הדגשה4 3 4" xfId="314"/>
    <cellStyle name="40% - הדגשה4 4" xfId="315"/>
    <cellStyle name="40% - הדגשה4 4 2" xfId="316"/>
    <cellStyle name="40% - הדגשה4 4 2 2" xfId="317"/>
    <cellStyle name="40% - הדגשה4 4 3" xfId="318"/>
    <cellStyle name="40% - הדגשה4 5" xfId="319"/>
    <cellStyle name="40% - הדגשה4 5 2" xfId="320"/>
    <cellStyle name="40% - הדגשה4 6" xfId="321"/>
    <cellStyle name="40% - הדגשה4 7" xfId="322"/>
    <cellStyle name="40% - הדגשה5" xfId="323"/>
    <cellStyle name="40% - הדגשה5 2" xfId="324"/>
    <cellStyle name="40% - הדגשה5 2 2" xfId="325"/>
    <cellStyle name="40% - הדגשה5 2 2 2" xfId="326"/>
    <cellStyle name="40% - הדגשה5 2 2 2 2" xfId="327"/>
    <cellStyle name="40% - הדגשה5 2 2 3" xfId="328"/>
    <cellStyle name="40% - הדגשה5 2 3" xfId="329"/>
    <cellStyle name="40% - הדגשה5 2 3 2" xfId="330"/>
    <cellStyle name="40% - הדגשה5 2 4" xfId="331"/>
    <cellStyle name="40% - הדגשה5 3" xfId="332"/>
    <cellStyle name="40% - הדגשה5 3 2" xfId="333"/>
    <cellStyle name="40% - הדגשה5 3 2 2" xfId="334"/>
    <cellStyle name="40% - הדגשה5 3 2 2 2" xfId="335"/>
    <cellStyle name="40% - הדגשה5 3 2 3" xfId="336"/>
    <cellStyle name="40% - הדגשה5 3 3" xfId="337"/>
    <cellStyle name="40% - הדגשה5 3 3 2" xfId="338"/>
    <cellStyle name="40% - הדגשה5 3 4" xfId="339"/>
    <cellStyle name="40% - הדגשה5 4" xfId="340"/>
    <cellStyle name="40% - הדגשה5 4 2" xfId="341"/>
    <cellStyle name="40% - הדגשה5 4 2 2" xfId="342"/>
    <cellStyle name="40% - הדגשה5 4 3" xfId="343"/>
    <cellStyle name="40% - הדגשה5 5" xfId="344"/>
    <cellStyle name="40% - הדגשה5 5 2" xfId="345"/>
    <cellStyle name="40% - הדגשה5 6" xfId="346"/>
    <cellStyle name="40% - הדגשה5 7" xfId="347"/>
    <cellStyle name="40% - הדגשה6" xfId="348"/>
    <cellStyle name="40% - הדגשה6 2" xfId="349"/>
    <cellStyle name="40% - הדגשה6 2 2" xfId="350"/>
    <cellStyle name="40% - הדגשה6 2 2 2" xfId="351"/>
    <cellStyle name="40% - הדגשה6 2 2 2 2" xfId="352"/>
    <cellStyle name="40% - הדגשה6 2 2 3" xfId="353"/>
    <cellStyle name="40% - הדגשה6 2 3" xfId="354"/>
    <cellStyle name="40% - הדגשה6 2 3 2" xfId="355"/>
    <cellStyle name="40% - הדגשה6 2 4" xfId="356"/>
    <cellStyle name="40% - הדגשה6 3" xfId="357"/>
    <cellStyle name="40% - הדגשה6 3 2" xfId="358"/>
    <cellStyle name="40% - הדגשה6 3 2 2" xfId="359"/>
    <cellStyle name="40% - הדגשה6 3 2 2 2" xfId="360"/>
    <cellStyle name="40% - הדגשה6 3 2 3" xfId="361"/>
    <cellStyle name="40% - הדגשה6 3 3" xfId="362"/>
    <cellStyle name="40% - הדגשה6 3 3 2" xfId="363"/>
    <cellStyle name="40% - הדגשה6 3 4" xfId="364"/>
    <cellStyle name="40% - הדגשה6 4" xfId="365"/>
    <cellStyle name="40% - הדגשה6 4 2" xfId="366"/>
    <cellStyle name="40% - הדגשה6 4 2 2" xfId="367"/>
    <cellStyle name="40% - הדגשה6 4 3" xfId="368"/>
    <cellStyle name="40% - הדגשה6 5" xfId="369"/>
    <cellStyle name="40% - הדגשה6 5 2" xfId="370"/>
    <cellStyle name="40% - הדגשה6 6" xfId="371"/>
    <cellStyle name="40% - הדגשה6 7" xfId="372"/>
    <cellStyle name="60% - Accent1" xfId="373"/>
    <cellStyle name="60% - Accent1 2" xfId="374"/>
    <cellStyle name="60% - Accent1 3" xfId="375"/>
    <cellStyle name="60% - Accent1 4" xfId="376"/>
    <cellStyle name="60% - Accent1 5" xfId="377"/>
    <cellStyle name="60% - Accent1 6" xfId="378"/>
    <cellStyle name="60% - Accent2" xfId="379"/>
    <cellStyle name="60% - Accent2 2" xfId="380"/>
    <cellStyle name="60% - Accent2 3" xfId="381"/>
    <cellStyle name="60% - Accent2 4" xfId="382"/>
    <cellStyle name="60% - Accent2 5" xfId="383"/>
    <cellStyle name="60% - Accent2 6" xfId="384"/>
    <cellStyle name="60% - Accent3" xfId="385"/>
    <cellStyle name="60% - Accent3 2" xfId="386"/>
    <cellStyle name="60% - Accent3 3" xfId="387"/>
    <cellStyle name="60% - Accent3 4" xfId="388"/>
    <cellStyle name="60% - Accent3 5" xfId="389"/>
    <cellStyle name="60% - Accent3 6" xfId="390"/>
    <cellStyle name="60% - Accent4" xfId="391"/>
    <cellStyle name="60% - Accent4 2" xfId="392"/>
    <cellStyle name="60% - Accent4 3" xfId="393"/>
    <cellStyle name="60% - Accent4 4" xfId="394"/>
    <cellStyle name="60% - Accent4 5" xfId="395"/>
    <cellStyle name="60% - Accent4 6" xfId="396"/>
    <cellStyle name="60% - Accent5" xfId="397"/>
    <cellStyle name="60% - Accent5 2" xfId="398"/>
    <cellStyle name="60% - Accent5 3" xfId="399"/>
    <cellStyle name="60% - Accent5 4" xfId="400"/>
    <cellStyle name="60% - Accent5 5" xfId="401"/>
    <cellStyle name="60% - Accent5 6" xfId="402"/>
    <cellStyle name="60% - Accent6" xfId="403"/>
    <cellStyle name="60% - Accent6 2" xfId="404"/>
    <cellStyle name="60% - Accent6 3" xfId="405"/>
    <cellStyle name="60% - Accent6 4" xfId="406"/>
    <cellStyle name="60% - Accent6 5" xfId="407"/>
    <cellStyle name="60% - Accent6 6" xfId="408"/>
    <cellStyle name="60% - הדגשה1" xfId="409"/>
    <cellStyle name="60% - הדגשה1 2" xfId="410"/>
    <cellStyle name="60% - הדגשה2" xfId="411"/>
    <cellStyle name="60% - הדגשה2 2" xfId="412"/>
    <cellStyle name="60% - הדגשה3" xfId="413"/>
    <cellStyle name="60% - הדגשה3 2" xfId="414"/>
    <cellStyle name="60% - הדגשה4" xfId="415"/>
    <cellStyle name="60% - הדגשה4 2" xfId="416"/>
    <cellStyle name="60% - הדגשה5" xfId="417"/>
    <cellStyle name="60% - הדגשה5 2" xfId="418"/>
    <cellStyle name="60% - הדגשה6" xfId="419"/>
    <cellStyle name="60% - הדגשה6 2" xfId="420"/>
    <cellStyle name="Accent1" xfId="421"/>
    <cellStyle name="Accent1 2" xfId="422"/>
    <cellStyle name="Accent1 3" xfId="423"/>
    <cellStyle name="Accent1 4" xfId="424"/>
    <cellStyle name="Accent1 5" xfId="425"/>
    <cellStyle name="Accent1 6" xfId="426"/>
    <cellStyle name="Accent2" xfId="427"/>
    <cellStyle name="Accent2 2" xfId="428"/>
    <cellStyle name="Accent2 3" xfId="429"/>
    <cellStyle name="Accent2 4" xfId="430"/>
    <cellStyle name="Accent2 5" xfId="431"/>
    <cellStyle name="Accent2 6" xfId="432"/>
    <cellStyle name="Accent3" xfId="433"/>
    <cellStyle name="Accent3 2" xfId="434"/>
    <cellStyle name="Accent3 3" xfId="435"/>
    <cellStyle name="Accent3 4" xfId="436"/>
    <cellStyle name="Accent3 5" xfId="437"/>
    <cellStyle name="Accent3 6" xfId="438"/>
    <cellStyle name="Accent4" xfId="439"/>
    <cellStyle name="Accent4 2" xfId="440"/>
    <cellStyle name="Accent4 3" xfId="441"/>
    <cellStyle name="Accent4 4" xfId="442"/>
    <cellStyle name="Accent4 5" xfId="443"/>
    <cellStyle name="Accent4 6" xfId="444"/>
    <cellStyle name="Accent5" xfId="445"/>
    <cellStyle name="Accent5 2" xfId="446"/>
    <cellStyle name="Accent5 3" xfId="447"/>
    <cellStyle name="Accent5 4" xfId="448"/>
    <cellStyle name="Accent5 5" xfId="449"/>
    <cellStyle name="Accent5 6" xfId="450"/>
    <cellStyle name="Accent6" xfId="451"/>
    <cellStyle name="Accent6 2" xfId="452"/>
    <cellStyle name="Accent6 3" xfId="453"/>
    <cellStyle name="Accent6 4" xfId="454"/>
    <cellStyle name="Accent6 5" xfId="455"/>
    <cellStyle name="Accent6 6" xfId="456"/>
    <cellStyle name="Bad" xfId="457"/>
    <cellStyle name="Bad 2" xfId="458"/>
    <cellStyle name="Bad 3" xfId="459"/>
    <cellStyle name="Bad 4" xfId="460"/>
    <cellStyle name="Bad 5" xfId="461"/>
    <cellStyle name="Bad 6" xfId="462"/>
    <cellStyle name="blp_column_header" xfId="463"/>
    <cellStyle name="Calculation" xfId="464"/>
    <cellStyle name="Calculation 2" xfId="465"/>
    <cellStyle name="Calculation 3" xfId="466"/>
    <cellStyle name="Calculation 4" xfId="467"/>
    <cellStyle name="Calculation 5" xfId="468"/>
    <cellStyle name="Calculation 6" xfId="469"/>
    <cellStyle name="Check Cell" xfId="470"/>
    <cellStyle name="Check Cell 2" xfId="471"/>
    <cellStyle name="Check Cell 3" xfId="472"/>
    <cellStyle name="Check Cell 4" xfId="473"/>
    <cellStyle name="Check Cell 5" xfId="474"/>
    <cellStyle name="Check Cell 6" xfId="475"/>
    <cellStyle name="Comma" xfId="476"/>
    <cellStyle name="Comma [0]" xfId="1030"/>
    <cellStyle name="Comma 10" xfId="477"/>
    <cellStyle name="Comma 2" xfId="478"/>
    <cellStyle name="Comma 2 2" xfId="479"/>
    <cellStyle name="Comma 2 2 2" xfId="480"/>
    <cellStyle name="Comma 2 2 3" xfId="481"/>
    <cellStyle name="Comma 2 2 4" xfId="482"/>
    <cellStyle name="Comma 2 2 5" xfId="483"/>
    <cellStyle name="Comma 2 2 6" xfId="484"/>
    <cellStyle name="Comma 2 2 7" xfId="485"/>
    <cellStyle name="Comma 2 3" xfId="486"/>
    <cellStyle name="Comma 2 3 2" xfId="487"/>
    <cellStyle name="Comma 2 3 3" xfId="488"/>
    <cellStyle name="Comma 2 3 4" xfId="489"/>
    <cellStyle name="Comma 2 4" xfId="490"/>
    <cellStyle name="Comma 2 5" xfId="491"/>
    <cellStyle name="Comma 2 6" xfId="492"/>
    <cellStyle name="Comma 2 7" xfId="493"/>
    <cellStyle name="Comma 3" xfId="494"/>
    <cellStyle name="Comma 3 10" xfId="495"/>
    <cellStyle name="Comma 3 2" xfId="496"/>
    <cellStyle name="Comma 3 2 2" xfId="497"/>
    <cellStyle name="Comma 3 2 2 2" xfId="498"/>
    <cellStyle name="Comma 3 2 2 3" xfId="499"/>
    <cellStyle name="Comma 3 2 3" xfId="500"/>
    <cellStyle name="Comma 3 2 4" xfId="501"/>
    <cellStyle name="Comma 3 3" xfId="502"/>
    <cellStyle name="Comma 3 3 2" xfId="503"/>
    <cellStyle name="Comma 3 3 3" xfId="504"/>
    <cellStyle name="Comma 3 3 4" xfId="505"/>
    <cellStyle name="Comma 3 3 5" xfId="506"/>
    <cellStyle name="Comma 3 3 6" xfId="507"/>
    <cellStyle name="Comma 3 4" xfId="508"/>
    <cellStyle name="Comma 3 5" xfId="509"/>
    <cellStyle name="Comma 3 6" xfId="510"/>
    <cellStyle name="Comma 3 7" xfId="511"/>
    <cellStyle name="Comma 3 8" xfId="512"/>
    <cellStyle name="Comma 3 9" xfId="513"/>
    <cellStyle name="Comma 4" xfId="514"/>
    <cellStyle name="Comma 4 2" xfId="515"/>
    <cellStyle name="Comma 4 2 2" xfId="516"/>
    <cellStyle name="Comma 4 2 2 2" xfId="517"/>
    <cellStyle name="Comma 4 2 3" xfId="518"/>
    <cellStyle name="Comma 4 2 3 2" xfId="519"/>
    <cellStyle name="Comma 4 2 3 3" xfId="520"/>
    <cellStyle name="Comma 4 2 3 4" xfId="521"/>
    <cellStyle name="Comma 4 2 4" xfId="522"/>
    <cellStyle name="Comma 4 2 5" xfId="523"/>
    <cellStyle name="Comma 4 3" xfId="524"/>
    <cellStyle name="Comma 4 4" xfId="525"/>
    <cellStyle name="Comma 4 5" xfId="526"/>
    <cellStyle name="Comma 4 6" xfId="527"/>
    <cellStyle name="Comma 4 7" xfId="528"/>
    <cellStyle name="Comma 4 8" xfId="529"/>
    <cellStyle name="Comma 5" xfId="530"/>
    <cellStyle name="Comma 5 2" xfId="531"/>
    <cellStyle name="Comma 5 2 2" xfId="532"/>
    <cellStyle name="Comma 5 3" xfId="533"/>
    <cellStyle name="Comma 5 3 2" xfId="534"/>
    <cellStyle name="Comma 5 3 3" xfId="535"/>
    <cellStyle name="Comma 5 3 4" xfId="536"/>
    <cellStyle name="Comma 5 4" xfId="537"/>
    <cellStyle name="Comma 5 5" xfId="538"/>
    <cellStyle name="Comma 5 6" xfId="539"/>
    <cellStyle name="Comma 5 7" xfId="540"/>
    <cellStyle name="Comma 5 8" xfId="541"/>
    <cellStyle name="Comma 6" xfId="542"/>
    <cellStyle name="Comma 6 2" xfId="543"/>
    <cellStyle name="Comma 6 3" xfId="544"/>
    <cellStyle name="Comma 6 4" xfId="545"/>
    <cellStyle name="Comma 7" xfId="546"/>
    <cellStyle name="Comma 7 2" xfId="547"/>
    <cellStyle name="Comma 7 3" xfId="548"/>
    <cellStyle name="Comma 7 4" xfId="549"/>
    <cellStyle name="Comma 7 5" xfId="550"/>
    <cellStyle name="Comma 8" xfId="551"/>
    <cellStyle name="Comma 8 2" xfId="552"/>
    <cellStyle name="Comma 9" xfId="553"/>
    <cellStyle name="Comma 9 2" xfId="554"/>
    <cellStyle name="Comma 9 3" xfId="555"/>
    <cellStyle name="Currency" xfId="556"/>
    <cellStyle name="Currency [0]" xfId="1023"/>
    <cellStyle name="Explanatory Text" xfId="557"/>
    <cellStyle name="Explanatory Text 2" xfId="558"/>
    <cellStyle name="Explanatory Text 3" xfId="559"/>
    <cellStyle name="Explanatory Text 4" xfId="560"/>
    <cellStyle name="Explanatory Text 5" xfId="561"/>
    <cellStyle name="Explanatory Text 6" xfId="562"/>
    <cellStyle name="Followed Hyperlink" xfId="952"/>
    <cellStyle name="Good" xfId="563"/>
    <cellStyle name="Good 2" xfId="564"/>
    <cellStyle name="Good 3" xfId="565"/>
    <cellStyle name="Good 4" xfId="566"/>
    <cellStyle name="Good 5" xfId="567"/>
    <cellStyle name="Good 6" xfId="568"/>
    <cellStyle name="Heading 1" xfId="569"/>
    <cellStyle name="Heading 1 2" xfId="570"/>
    <cellStyle name="Heading 1 3" xfId="571"/>
    <cellStyle name="Heading 1 4" xfId="572"/>
    <cellStyle name="Heading 1 5" xfId="573"/>
    <cellStyle name="Heading 1 6" xfId="574"/>
    <cellStyle name="Heading 2" xfId="575"/>
    <cellStyle name="Heading 2 2" xfId="576"/>
    <cellStyle name="Heading 2 3" xfId="577"/>
    <cellStyle name="Heading 2 4" xfId="578"/>
    <cellStyle name="Heading 2 5" xfId="579"/>
    <cellStyle name="Heading 2 6" xfId="580"/>
    <cellStyle name="Heading 3" xfId="581"/>
    <cellStyle name="Heading 3 2" xfId="582"/>
    <cellStyle name="Heading 3 3" xfId="583"/>
    <cellStyle name="Heading 3 4" xfId="584"/>
    <cellStyle name="Heading 3 5" xfId="585"/>
    <cellStyle name="Heading 3 6" xfId="586"/>
    <cellStyle name="Heading 4" xfId="587"/>
    <cellStyle name="Heading 4 2" xfId="588"/>
    <cellStyle name="Heading 4 3" xfId="589"/>
    <cellStyle name="Heading 4 4" xfId="590"/>
    <cellStyle name="Heading 4 5" xfId="591"/>
    <cellStyle name="Heading 4 6" xfId="592"/>
    <cellStyle name="Hyperlink" xfId="950"/>
    <cellStyle name="Hyperlink 2" xfId="593"/>
    <cellStyle name="Input" xfId="594"/>
    <cellStyle name="Input 2" xfId="595"/>
    <cellStyle name="Input 3" xfId="596"/>
    <cellStyle name="Input 4" xfId="597"/>
    <cellStyle name="Input 5" xfId="598"/>
    <cellStyle name="Input 6" xfId="599"/>
    <cellStyle name="Linked Cell" xfId="600"/>
    <cellStyle name="Linked Cell 2" xfId="601"/>
    <cellStyle name="Linked Cell 3" xfId="602"/>
    <cellStyle name="Linked Cell 4" xfId="603"/>
    <cellStyle name="Linked Cell 5" xfId="604"/>
    <cellStyle name="Linked Cell 6" xfId="605"/>
    <cellStyle name="Neutral" xfId="606"/>
    <cellStyle name="Neutral 2" xfId="607"/>
    <cellStyle name="Neutral 3" xfId="608"/>
    <cellStyle name="Neutral 4" xfId="609"/>
    <cellStyle name="Neutral 5" xfId="610"/>
    <cellStyle name="Neutral 6" xfId="611"/>
    <cellStyle name="Normal" xfId="0" builtinId="0"/>
    <cellStyle name="Normal 10" xfId="612"/>
    <cellStyle name="Normal 10 2" xfId="613"/>
    <cellStyle name="Normal 10 2 2" xfId="614"/>
    <cellStyle name="Normal 10 2 3" xfId="615"/>
    <cellStyle name="Normal 10 2 4" xfId="616"/>
    <cellStyle name="Normal 10 2 5" xfId="617"/>
    <cellStyle name="Normal 10 2 6" xfId="618"/>
    <cellStyle name="Normal 10 2 7" xfId="619"/>
    <cellStyle name="Normal 10 3" xfId="620"/>
    <cellStyle name="Normal 10 3 2" xfId="621"/>
    <cellStyle name="Normal 10 3 3" xfId="622"/>
    <cellStyle name="Normal 10 3 4" xfId="623"/>
    <cellStyle name="Normal 10 4" xfId="624"/>
    <cellStyle name="Normal 10 5" xfId="625"/>
    <cellStyle name="Normal 10 6" xfId="626"/>
    <cellStyle name="Normal 10 7" xfId="627"/>
    <cellStyle name="Normal 10 8" xfId="628"/>
    <cellStyle name="Normal 11" xfId="629"/>
    <cellStyle name="Normal 11 2" xfId="630"/>
    <cellStyle name="Normal 11 2 2" xfId="631"/>
    <cellStyle name="Normal 11 3" xfId="632"/>
    <cellStyle name="Normal 11 4" xfId="633"/>
    <cellStyle name="Normal 12" xfId="634"/>
    <cellStyle name="Normal 12 2" xfId="635"/>
    <cellStyle name="Normal 12 3" xfId="636"/>
    <cellStyle name="Normal 12 4" xfId="637"/>
    <cellStyle name="Normal 13" xfId="638"/>
    <cellStyle name="Normal 14" xfId="639"/>
    <cellStyle name="Normal 15" xfId="640"/>
    <cellStyle name="Normal 16" xfId="641"/>
    <cellStyle name="Normal 17" xfId="642"/>
    <cellStyle name="Normal 18" xfId="643"/>
    <cellStyle name="Normal 19" xfId="644"/>
    <cellStyle name="Normal 19 2" xfId="645"/>
    <cellStyle name="Normal 19 3" xfId="646"/>
    <cellStyle name="Normal 2" xfId="647"/>
    <cellStyle name="Normal 2 10" xfId="648"/>
    <cellStyle name="Normal 2 10 2" xfId="649"/>
    <cellStyle name="Normal 2 2" xfId="650"/>
    <cellStyle name="Normal 2 2 2" xfId="651"/>
    <cellStyle name="Normal 2 2 2 2" xfId="652"/>
    <cellStyle name="Normal 2 2 2 3" xfId="653"/>
    <cellStyle name="Normal 2 2 2 4" xfId="654"/>
    <cellStyle name="Normal 2 2 2 5" xfId="655"/>
    <cellStyle name="Normal 2 2 2 6" xfId="656"/>
    <cellStyle name="Normal 2 2 2 7" xfId="657"/>
    <cellStyle name="Normal 2 2 2 7 2" xfId="658"/>
    <cellStyle name="Normal 2 2 2 7 3" xfId="659"/>
    <cellStyle name="Normal 2 2 2 7 4" xfId="660"/>
    <cellStyle name="Normal 2 2 3" xfId="661"/>
    <cellStyle name="Normal 2 2 3 2" xfId="662"/>
    <cellStyle name="Normal 2 2 3 3" xfId="663"/>
    <cellStyle name="Normal 2 2 3 4" xfId="664"/>
    <cellStyle name="Normal 2 2 3 5" xfId="665"/>
    <cellStyle name="Normal 2 2 4" xfId="666"/>
    <cellStyle name="Normal 2 2 5" xfId="667"/>
    <cellStyle name="Normal 2 2 6" xfId="668"/>
    <cellStyle name="Normal 2 2 7" xfId="669"/>
    <cellStyle name="Normal 2 2 8" xfId="670"/>
    <cellStyle name="Normal 2 2 9" xfId="671"/>
    <cellStyle name="Normal 2 2 9 2" xfId="672"/>
    <cellStyle name="Normal 2 2 9 3" xfId="673"/>
    <cellStyle name="Normal 2 3" xfId="674"/>
    <cellStyle name="Normal 2 3 2" xfId="675"/>
    <cellStyle name="Normal 2 3 3" xfId="676"/>
    <cellStyle name="Normal 2 3 4" xfId="677"/>
    <cellStyle name="Normal 2 3 5" xfId="678"/>
    <cellStyle name="Normal 2 3 6" xfId="679"/>
    <cellStyle name="Normal 2 3 7" xfId="680"/>
    <cellStyle name="Normal 2 3 8" xfId="681"/>
    <cellStyle name="Normal 2 3 8 2" xfId="682"/>
    <cellStyle name="Normal 2 3 8 3" xfId="683"/>
    <cellStyle name="Normal 2 4" xfId="684"/>
    <cellStyle name="Normal 2 4 2" xfId="685"/>
    <cellStyle name="Normal 2 4 3" xfId="686"/>
    <cellStyle name="Normal 2 4 4" xfId="687"/>
    <cellStyle name="Normal 2 5" xfId="688"/>
    <cellStyle name="Normal 2 5 2" xfId="689"/>
    <cellStyle name="Normal 2 5 3" xfId="690"/>
    <cellStyle name="Normal 2 6" xfId="691"/>
    <cellStyle name="Normal 2 7" xfId="692"/>
    <cellStyle name="Normal 2 7 2" xfId="693"/>
    <cellStyle name="Normal 2 7 3" xfId="694"/>
    <cellStyle name="Normal 2 8" xfId="695"/>
    <cellStyle name="Normal 2 9" xfId="696"/>
    <cellStyle name="Normal 20" xfId="697"/>
    <cellStyle name="Normal 21" xfId="698"/>
    <cellStyle name="Normal 22" xfId="699"/>
    <cellStyle name="Normal 23" xfId="700"/>
    <cellStyle name="Normal 24" xfId="701"/>
    <cellStyle name="Normal 25" xfId="702"/>
    <cellStyle name="Normal 26" xfId="703"/>
    <cellStyle name="Normal 3" xfId="704"/>
    <cellStyle name="Normal 3 10" xfId="705"/>
    <cellStyle name="Normal 3 11" xfId="706"/>
    <cellStyle name="Normal 3 12" xfId="707"/>
    <cellStyle name="Normal 3 13" xfId="708"/>
    <cellStyle name="Normal 3 2" xfId="709"/>
    <cellStyle name="Normal 3 2 2" xfId="710"/>
    <cellStyle name="Normal 3 2 3" xfId="711"/>
    <cellStyle name="Normal 3 2 4" xfId="712"/>
    <cellStyle name="Normal 3 2 5" xfId="713"/>
    <cellStyle name="Normal 3 2 6" xfId="714"/>
    <cellStyle name="Normal 3 2 6 2" xfId="715"/>
    <cellStyle name="Normal 3 2 6 3" xfId="716"/>
    <cellStyle name="Normal 3 3" xfId="717"/>
    <cellStyle name="Normal 3 3 2" xfId="718"/>
    <cellStyle name="Normal 3 3 2 2" xfId="719"/>
    <cellStyle name="Normal 3 4" xfId="720"/>
    <cellStyle name="Normal 3 4 2" xfId="721"/>
    <cellStyle name="Normal 3 4 3" xfId="722"/>
    <cellStyle name="Normal 3 5" xfId="723"/>
    <cellStyle name="Normal 3 6" xfId="724"/>
    <cellStyle name="Normal 3 7" xfId="725"/>
    <cellStyle name="Normal 3 8" xfId="726"/>
    <cellStyle name="Normal 3 9" xfId="727"/>
    <cellStyle name="Normal 4" xfId="728"/>
    <cellStyle name="Normal 4 10" xfId="729"/>
    <cellStyle name="Normal 4 11" xfId="730"/>
    <cellStyle name="Normal 4 2" xfId="731"/>
    <cellStyle name="Normal 4 2 2" xfId="732"/>
    <cellStyle name="Normal 4 2 2 2" xfId="733"/>
    <cellStyle name="Normal 4 2 2 3" xfId="734"/>
    <cellStyle name="Normal 4 2 3" xfId="735"/>
    <cellStyle name="Normal 4 2 4" xfId="736"/>
    <cellStyle name="Normal 4 2 5" xfId="737"/>
    <cellStyle name="Normal 4 2 6" xfId="738"/>
    <cellStyle name="Normal 4 2 7" xfId="739"/>
    <cellStyle name="Normal 4 2 7 2" xfId="740"/>
    <cellStyle name="Normal 4 2 7 3" xfId="741"/>
    <cellStyle name="Normal 4 3" xfId="742"/>
    <cellStyle name="Normal 4 3 2" xfId="743"/>
    <cellStyle name="Normal 4 3 3" xfId="744"/>
    <cellStyle name="Normal 4 3 4" xfId="745"/>
    <cellStyle name="Normal 4 3 5" xfId="746"/>
    <cellStyle name="Normal 4 3 6" xfId="747"/>
    <cellStyle name="Normal 4 4" xfId="748"/>
    <cellStyle name="Normal 4 5" xfId="749"/>
    <cellStyle name="Normal 4 6" xfId="750"/>
    <cellStyle name="Normal 4 7" xfId="751"/>
    <cellStyle name="Normal 4 7 2" xfId="752"/>
    <cellStyle name="Normal 4 7 3" xfId="753"/>
    <cellStyle name="Normal 4 7 4" xfId="754"/>
    <cellStyle name="Normal 4 7 5" xfId="755"/>
    <cellStyle name="Normal 4 8" xfId="756"/>
    <cellStyle name="Normal 4 9" xfId="757"/>
    <cellStyle name="Normal 5" xfId="758"/>
    <cellStyle name="Normal 5 2" xfId="759"/>
    <cellStyle name="Normal 5 2 2" xfId="760"/>
    <cellStyle name="Normal 5 2 3" xfId="761"/>
    <cellStyle name="Normal 5 2 4" xfId="762"/>
    <cellStyle name="Normal 5 3" xfId="763"/>
    <cellStyle name="Normal 5 3 2" xfId="764"/>
    <cellStyle name="Normal 5 3 3" xfId="765"/>
    <cellStyle name="Normal 5 4" xfId="766"/>
    <cellStyle name="Normal 5 5" xfId="767"/>
    <cellStyle name="Normal 5 5 2" xfId="768"/>
    <cellStyle name="Normal 5 5 3" xfId="769"/>
    <cellStyle name="Normal 5 5 4" xfId="770"/>
    <cellStyle name="Normal 5 5 4 2" xfId="771"/>
    <cellStyle name="Normal 5 6" xfId="772"/>
    <cellStyle name="Normal 5 7" xfId="773"/>
    <cellStyle name="Normal 5 8" xfId="774"/>
    <cellStyle name="Normal 5 9" xfId="775"/>
    <cellStyle name="Normal 6" xfId="776"/>
    <cellStyle name="Normal 6 2" xfId="777"/>
    <cellStyle name="Normal 6 2 2" xfId="778"/>
    <cellStyle name="Normal 6 2 3" xfId="779"/>
    <cellStyle name="Normal 6 2 4" xfId="780"/>
    <cellStyle name="Normal 6 3" xfId="781"/>
    <cellStyle name="Normal 6 3 2" xfId="782"/>
    <cellStyle name="Normal 6 3 3" xfId="783"/>
    <cellStyle name="Normal 6 3 4" xfId="784"/>
    <cellStyle name="Normal 6 3 5" xfId="785"/>
    <cellStyle name="Normal 6 3 6" xfId="786"/>
    <cellStyle name="Normal 6 4" xfId="787"/>
    <cellStyle name="Normal 6 5" xfId="788"/>
    <cellStyle name="Normal 6 6" xfId="789"/>
    <cellStyle name="Normal 6 7" xfId="790"/>
    <cellStyle name="Normal 6 8" xfId="791"/>
    <cellStyle name="Normal 6 9" xfId="792"/>
    <cellStyle name="Normal 7" xfId="793"/>
    <cellStyle name="Normal 7 2" xfId="794"/>
    <cellStyle name="Normal 7 2 2" xfId="795"/>
    <cellStyle name="Normal 7 2 2 2" xfId="796"/>
    <cellStyle name="Normal 7 2 3" xfId="797"/>
    <cellStyle name="Normal 7 2 3 2" xfId="798"/>
    <cellStyle name="Normal 7 2 3 3" xfId="799"/>
    <cellStyle name="Normal 7 2 3 4" xfId="800"/>
    <cellStyle name="Normal 7 3" xfId="801"/>
    <cellStyle name="Normal 7 4" xfId="802"/>
    <cellStyle name="Normal 7 4 2" xfId="803"/>
    <cellStyle name="Normal 7 4 3" xfId="804"/>
    <cellStyle name="Normal 7 4 4" xfId="805"/>
    <cellStyle name="Normal 7 4 4 2" xfId="806"/>
    <cellStyle name="Normal 7 5" xfId="807"/>
    <cellStyle name="Normal 7 5 2" xfId="808"/>
    <cellStyle name="Normal 7 5 3" xfId="809"/>
    <cellStyle name="Normal 7 6" xfId="810"/>
    <cellStyle name="Normal 7 7" xfId="811"/>
    <cellStyle name="Normal 7 8" xfId="812"/>
    <cellStyle name="Normal 7 9" xfId="813"/>
    <cellStyle name="Normal 8" xfId="814"/>
    <cellStyle name="Normal 8 2" xfId="815"/>
    <cellStyle name="Normal 8 2 2" xfId="816"/>
    <cellStyle name="Normal 8 2 3" xfId="817"/>
    <cellStyle name="Normal 8 3" xfId="818"/>
    <cellStyle name="Normal 8 3 2" xfId="819"/>
    <cellStyle name="Normal 8 3 3" xfId="820"/>
    <cellStyle name="Normal 8 3 4" xfId="821"/>
    <cellStyle name="Normal 8 3 5" xfId="822"/>
    <cellStyle name="Normal 8 3 5 2" xfId="823"/>
    <cellStyle name="Normal 8 4" xfId="824"/>
    <cellStyle name="Normal 8 5" xfId="825"/>
    <cellStyle name="Normal 8 6" xfId="826"/>
    <cellStyle name="Normal 8 6 2" xfId="827"/>
    <cellStyle name="Normal 9" xfId="828"/>
    <cellStyle name="Normal 9 2" xfId="829"/>
    <cellStyle name="Normal 9 3" xfId="830"/>
    <cellStyle name="Note" xfId="831"/>
    <cellStyle name="Note 2" xfId="832"/>
    <cellStyle name="Note 3" xfId="833"/>
    <cellStyle name="Note 4" xfId="834"/>
    <cellStyle name="Note 5" xfId="835"/>
    <cellStyle name="Note 6" xfId="836"/>
    <cellStyle name="Output" xfId="837"/>
    <cellStyle name="Output 2" xfId="838"/>
    <cellStyle name="Output 3" xfId="839"/>
    <cellStyle name="Output 4" xfId="840"/>
    <cellStyle name="Output 5" xfId="841"/>
    <cellStyle name="Output 6" xfId="842"/>
    <cellStyle name="Percent" xfId="843"/>
    <cellStyle name="Percent 10" xfId="844"/>
    <cellStyle name="Percent 10 2" xfId="845"/>
    <cellStyle name="Percent 10 2 2" xfId="846"/>
    <cellStyle name="Percent 10 3" xfId="847"/>
    <cellStyle name="Percent 11" xfId="848"/>
    <cellStyle name="Percent 12" xfId="849"/>
    <cellStyle name="Percent 2" xfId="850"/>
    <cellStyle name="Percent 2 2" xfId="851"/>
    <cellStyle name="Percent 2 2 2" xfId="852"/>
    <cellStyle name="Percent 2 2 3" xfId="853"/>
    <cellStyle name="Percent 2 2 4" xfId="854"/>
    <cellStyle name="Percent 2 2 5" xfId="855"/>
    <cellStyle name="Percent 2 3" xfId="856"/>
    <cellStyle name="Percent 2 4" xfId="857"/>
    <cellStyle name="Percent 2 4 2" xfId="858"/>
    <cellStyle name="Percent 2 4 3" xfId="859"/>
    <cellStyle name="Percent 2 4 4" xfId="860"/>
    <cellStyle name="Percent 2 4 5" xfId="861"/>
    <cellStyle name="Percent 2 4 6" xfId="862"/>
    <cellStyle name="Percent 2 4 7" xfId="863"/>
    <cellStyle name="Percent 2 4 8" xfId="864"/>
    <cellStyle name="Percent 2 5" xfId="865"/>
    <cellStyle name="Percent 2 6" xfId="866"/>
    <cellStyle name="Percent 2 7" xfId="867"/>
    <cellStyle name="Percent 22" xfId="868"/>
    <cellStyle name="Percent 3" xfId="869"/>
    <cellStyle name="Percent 3 2" xfId="870"/>
    <cellStyle name="Percent 3 2 2" xfId="871"/>
    <cellStyle name="Percent 3 2 3" xfId="872"/>
    <cellStyle name="Percent 3 2 4" xfId="873"/>
    <cellStyle name="Percent 3 3" xfId="874"/>
    <cellStyle name="Percent 3 3 2" xfId="875"/>
    <cellStyle name="Percent 3 3 3" xfId="876"/>
    <cellStyle name="Percent 3 3 4" xfId="877"/>
    <cellStyle name="Percent 3 4" xfId="878"/>
    <cellStyle name="Percent 3 5" xfId="879"/>
    <cellStyle name="Percent 3 6" xfId="880"/>
    <cellStyle name="Percent 3 7" xfId="881"/>
    <cellStyle name="Percent 4" xfId="882"/>
    <cellStyle name="Percent 4 2" xfId="883"/>
    <cellStyle name="Percent 4 2 2" xfId="884"/>
    <cellStyle name="Percent 4 2 2 2" xfId="885"/>
    <cellStyle name="Percent 4 2 2 3" xfId="886"/>
    <cellStyle name="Percent 4 2 2 4" xfId="887"/>
    <cellStyle name="Percent 4 2 3" xfId="888"/>
    <cellStyle name="Percent 4 2 3 2" xfId="889"/>
    <cellStyle name="Percent 4 2 3 3" xfId="890"/>
    <cellStyle name="Percent 4 2 3 4" xfId="891"/>
    <cellStyle name="Percent 4 2 4" xfId="892"/>
    <cellStyle name="Percent 4 2 5" xfId="893"/>
    <cellStyle name="Percent 4 3" xfId="894"/>
    <cellStyle name="Percent 4 3 2" xfId="895"/>
    <cellStyle name="Percent 4 3 3" xfId="896"/>
    <cellStyle name="Percent 4 4" xfId="897"/>
    <cellStyle name="Percent 4 5" xfId="898"/>
    <cellStyle name="Percent 4 6" xfId="899"/>
    <cellStyle name="Percent 4 7" xfId="900"/>
    <cellStyle name="Percent 5" xfId="901"/>
    <cellStyle name="Percent 5 2" xfId="902"/>
    <cellStyle name="Percent 5 2 2" xfId="903"/>
    <cellStyle name="Percent 5 2 3" xfId="904"/>
    <cellStyle name="Percent 5 2 4" xfId="905"/>
    <cellStyle name="Percent 5 3" xfId="906"/>
    <cellStyle name="Percent 5 3 2" xfId="907"/>
    <cellStyle name="Percent 5 3 3" xfId="908"/>
    <cellStyle name="Percent 5 3 4" xfId="909"/>
    <cellStyle name="Percent 5 4" xfId="910"/>
    <cellStyle name="Percent 5 5" xfId="911"/>
    <cellStyle name="Percent 6" xfId="912"/>
    <cellStyle name="Percent 7" xfId="913"/>
    <cellStyle name="Percent 8" xfId="914"/>
    <cellStyle name="Percent 8 2" xfId="915"/>
    <cellStyle name="Percent 8 3" xfId="916"/>
    <cellStyle name="Percent 9" xfId="917"/>
    <cellStyle name="Percent 9 2" xfId="918"/>
    <cellStyle name="Percent 9 3" xfId="919"/>
    <cellStyle name="Title" xfId="920"/>
    <cellStyle name="Title 2" xfId="921"/>
    <cellStyle name="Title 3" xfId="922"/>
    <cellStyle name="Title 4" xfId="923"/>
    <cellStyle name="Title 5" xfId="924"/>
    <cellStyle name="Title 6" xfId="925"/>
    <cellStyle name="Total" xfId="926"/>
    <cellStyle name="Total 2" xfId="927"/>
    <cellStyle name="Total 3" xfId="928"/>
    <cellStyle name="Total 4" xfId="929"/>
    <cellStyle name="Total 5" xfId="930"/>
    <cellStyle name="Total 6" xfId="931"/>
    <cellStyle name="Warning Text" xfId="932"/>
    <cellStyle name="Warning Text 2" xfId="933"/>
    <cellStyle name="Warning Text 3" xfId="934"/>
    <cellStyle name="Warning Text 4" xfId="935"/>
    <cellStyle name="Warning Text 5" xfId="936"/>
    <cellStyle name="Warning Text 6" xfId="937"/>
    <cellStyle name="הדגשה1" xfId="938"/>
    <cellStyle name="הדגשה1 2" xfId="939"/>
    <cellStyle name="הדגשה2" xfId="940"/>
    <cellStyle name="הדגשה2 2" xfId="941"/>
    <cellStyle name="הדגשה3" xfId="942"/>
    <cellStyle name="הדגשה3 2" xfId="943"/>
    <cellStyle name="הדגשה4" xfId="944"/>
    <cellStyle name="הדגשה4 2" xfId="945"/>
    <cellStyle name="הדגשה5" xfId="946"/>
    <cellStyle name="הדגשה5 2" xfId="947"/>
    <cellStyle name="הדגשה6" xfId="948"/>
    <cellStyle name="הדגשה6 2" xfId="949"/>
    <cellStyle name="היפר-קישור 2" xfId="951"/>
    <cellStyle name="הערה" xfId="953"/>
    <cellStyle name="הערה 2" xfId="954"/>
    <cellStyle name="הערה 2 2" xfId="955"/>
    <cellStyle name="הערה 2 2 2" xfId="956"/>
    <cellStyle name="הערה 2 2 2 2" xfId="957"/>
    <cellStyle name="הערה 2 2 2 3" xfId="958"/>
    <cellStyle name="הערה 2 2 2 4" xfId="959"/>
    <cellStyle name="הערה 2 2 3" xfId="960"/>
    <cellStyle name="הערה 2 2 4" xfId="961"/>
    <cellStyle name="הערה 2 2 5" xfId="962"/>
    <cellStyle name="הערה 2 3" xfId="963"/>
    <cellStyle name="הערה 2 3 2" xfId="964"/>
    <cellStyle name="הערה 2 3 3" xfId="965"/>
    <cellStyle name="הערה 2 3 4" xfId="966"/>
    <cellStyle name="הערה 2 4" xfId="967"/>
    <cellStyle name="הערה 2 5" xfId="968"/>
    <cellStyle name="הערה 3" xfId="969"/>
    <cellStyle name="הערה 3 2" xfId="970"/>
    <cellStyle name="הערה 3 2 2" xfId="971"/>
    <cellStyle name="הערה 3 2 2 2" xfId="972"/>
    <cellStyle name="הערה 3 2 3" xfId="973"/>
    <cellStyle name="הערה 3 3" xfId="974"/>
    <cellStyle name="הערה 3 3 2" xfId="975"/>
    <cellStyle name="הערה 3 4" xfId="976"/>
    <cellStyle name="הערה 3 5" xfId="977"/>
    <cellStyle name="הערה 3 6" xfId="978"/>
    <cellStyle name="הערה 3 7" xfId="979"/>
    <cellStyle name="הערה 4" xfId="980"/>
    <cellStyle name="הערה 4 2" xfId="981"/>
    <cellStyle name="הערה 4 2 2" xfId="982"/>
    <cellStyle name="הערה 4 2 3" xfId="983"/>
    <cellStyle name="הערה 4 2 4" xfId="984"/>
    <cellStyle name="הערה 4 3" xfId="985"/>
    <cellStyle name="הערה 4 4" xfId="986"/>
    <cellStyle name="הערה 4 5" xfId="987"/>
    <cellStyle name="הערה 4 6" xfId="988"/>
    <cellStyle name="הערה 5" xfId="989"/>
    <cellStyle name="הערה 5 2" xfId="990"/>
    <cellStyle name="הערה 5 3" xfId="991"/>
    <cellStyle name="הערה 5 4" xfId="992"/>
    <cellStyle name="הערה 5 5" xfId="993"/>
    <cellStyle name="הערה 6" xfId="994"/>
    <cellStyle name="הערה 6 2" xfId="995"/>
    <cellStyle name="הערה 6 3" xfId="996"/>
    <cellStyle name="הערה 6 4" xfId="997"/>
    <cellStyle name="הערה 7" xfId="998"/>
    <cellStyle name="הערה 7 2" xfId="999"/>
    <cellStyle name="הערה 7 3" xfId="1000"/>
    <cellStyle name="הערה 7 4" xfId="1001"/>
    <cellStyle name="הערה 8" xfId="1002"/>
    <cellStyle name="הערה 8 2" xfId="1003"/>
    <cellStyle name="חישוב" xfId="1004"/>
    <cellStyle name="חישוב 2" xfId="1005"/>
    <cellStyle name="טוב" xfId="1006"/>
    <cellStyle name="טוב 2" xfId="1007"/>
    <cellStyle name="טקסט אזהרה" xfId="1008"/>
    <cellStyle name="טקסט אזהרה 2" xfId="1009"/>
    <cellStyle name="טקסט הסברי" xfId="1010"/>
    <cellStyle name="טקסט הסברי 2" xfId="1011"/>
    <cellStyle name="כותרת" xfId="1012"/>
    <cellStyle name="כותרת 1" xfId="1013"/>
    <cellStyle name="כותרת 1 2" xfId="1014"/>
    <cellStyle name="כותרת 2" xfId="1015"/>
    <cellStyle name="כותרת 2 2" xfId="1016"/>
    <cellStyle name="כותרת 3" xfId="1017"/>
    <cellStyle name="כותרת 3 2" xfId="1018"/>
    <cellStyle name="כותרת 4" xfId="1019"/>
    <cellStyle name="כותרת 4 2" xfId="1020"/>
    <cellStyle name="כותרת 5" xfId="1021"/>
    <cellStyle name="כותרת 6" xfId="1022"/>
    <cellStyle name="ניטראלי" xfId="1024"/>
    <cellStyle name="ניטראלי 2" xfId="1025"/>
    <cellStyle name="סה&quot;כ" xfId="1026"/>
    <cellStyle name="סה&quot;כ 2" xfId="1027"/>
    <cellStyle name="פלט" xfId="1028"/>
    <cellStyle name="פלט 2" xfId="1029"/>
    <cellStyle name="קלט" xfId="1031"/>
    <cellStyle name="קלט 2" xfId="1032"/>
    <cellStyle name="רע" xfId="1033"/>
    <cellStyle name="רע 2" xfId="1034"/>
    <cellStyle name="תא מסומן" xfId="1035"/>
    <cellStyle name="תא מסומן 2" xfId="1036"/>
    <cellStyle name="תא מקושר" xfId="1037"/>
    <cellStyle name="תא מקושר 2" xfId="103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1.emf"/><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drawing7.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drawing8.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drawing9.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drawing10.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21</xdr:row>
      <xdr:rowOff>19348</xdr:rowOff>
    </xdr:from>
    <xdr:to>
      <xdr:col>8</xdr:col>
      <xdr:colOff>0</xdr:colOff>
      <xdr:row>24</xdr:row>
      <xdr:rowOff>161739</xdr:rowOff>
    </xdr:to>
    <xdr:pic>
      <xdr:nvPicPr>
        <xdr:cNvPr id="269" name="Picture 2"/>
        <xdr:cNvPicPr>
          <a:picLocks noChangeAspect="1"/>
        </xdr:cNvPicPr>
      </xdr:nvPicPr>
      <xdr:blipFill>
        <a:blip xmlns:r="http://schemas.openxmlformats.org/officeDocument/2006/relationships" r:embed="rId1"/>
        <a:stretch>
          <a:fillRect/>
        </a:stretch>
      </xdr:blipFill>
      <xdr:spPr>
        <a:xfrm>
          <a:off x="0" y="4514850"/>
          <a:ext cx="11163300" cy="704850"/>
        </a:xfrm>
        <a:prstGeom prst="rect">
          <a:avLst/>
        </a:prstGeom>
        <a:noFill/>
        <a:ln w="9525" cmpd="sng">
          <a:noFill/>
        </a:ln>
      </xdr:spPr>
    </xdr:pic>
    <xdr:clientData/>
  </xdr:twoCellAnchor>
  <xdr:twoCellAnchor>
    <xdr:from>
      <xdr:col>0</xdr:col>
      <xdr:colOff>0</xdr:colOff>
      <xdr:row>0</xdr:row>
      <xdr:rowOff>0</xdr:rowOff>
    </xdr:from>
    <xdr:to>
      <xdr:col>7</xdr:col>
      <xdr:colOff>4029521</xdr:colOff>
      <xdr:row>5</xdr:row>
      <xdr:rowOff>85576</xdr:rowOff>
    </xdr:to>
    <xdr:pic>
      <xdr:nvPicPr>
        <xdr:cNvPr id="270" name="Picture 1"/>
        <xdr:cNvPicPr>
          <a:picLocks noChangeAspect="1"/>
        </xdr:cNvPicPr>
      </xdr:nvPicPr>
      <xdr:blipFill>
        <a:blip xmlns:r="http://schemas.openxmlformats.org/officeDocument/2006/relationships" r:embed="rId2"/>
        <a:stretch>
          <a:fillRect/>
        </a:stretch>
      </xdr:blipFill>
      <xdr:spPr>
        <a:xfrm>
          <a:off x="0" y="0"/>
          <a:ext cx="10848975" cy="1057275"/>
        </a:xfrm>
        <a:prstGeom prst="rect">
          <a:avLst/>
        </a:prstGeom>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0</xdr:colOff>
      <xdr:row>5</xdr:row>
      <xdr:rowOff>85576</xdr:rowOff>
    </xdr:to>
    <xdr:pic>
      <xdr:nvPicPr>
        <xdr:cNvPr id="269" name="Picture 1"/>
        <xdr:cNvPicPr>
          <a:picLocks noChangeAspect="1"/>
        </xdr:cNvPicPr>
      </xdr:nvPicPr>
      <xdr:blipFill>
        <a:blip xmlns:r="http://schemas.openxmlformats.org/officeDocument/2006/relationships" r:embed="rId1"/>
        <a:stretch>
          <a:fillRect/>
        </a:stretch>
      </xdr:blipFill>
      <xdr:spPr>
        <a:xfrm>
          <a:off x="0" y="0"/>
          <a:ext cx="11163300" cy="1057275"/>
        </a:xfrm>
        <a:prstGeom prst="rect">
          <a:avLst/>
        </a:prstGeom>
        <a:noFill/>
        <a:ln w="9525" cmpd="sng">
          <a:noFill/>
        </a:ln>
      </xdr:spPr>
    </xdr:pic>
    <xdr:clientData/>
  </xdr:twoCellAnchor>
  <xdr:twoCellAnchor>
    <xdr:from>
      <xdr:col>0</xdr:col>
      <xdr:colOff>0</xdr:colOff>
      <xdr:row>21</xdr:row>
      <xdr:rowOff>9674</xdr:rowOff>
    </xdr:from>
    <xdr:to>
      <xdr:col>9</xdr:col>
      <xdr:colOff>0</xdr:colOff>
      <xdr:row>24</xdr:row>
      <xdr:rowOff>161888</xdr:rowOff>
    </xdr:to>
    <xdr:pic>
      <xdr:nvPicPr>
        <xdr:cNvPr id="270" name="Picture 2"/>
        <xdr:cNvPicPr>
          <a:picLocks noChangeAspect="1"/>
        </xdr:cNvPicPr>
      </xdr:nvPicPr>
      <xdr:blipFill>
        <a:blip xmlns:r="http://schemas.openxmlformats.org/officeDocument/2006/relationships" r:embed="rId2"/>
        <a:stretch>
          <a:fillRect/>
        </a:stretch>
      </xdr:blipFill>
      <xdr:spPr>
        <a:xfrm>
          <a:off x="0" y="4505325"/>
          <a:ext cx="11163300" cy="714375"/>
        </a:xfrm>
        <a:prstGeom prst="rect">
          <a:avLst/>
        </a:prstGeom>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21</xdr:row>
      <xdr:rowOff>19348</xdr:rowOff>
    </xdr:from>
    <xdr:to>
      <xdr:col>8</xdr:col>
      <xdr:colOff>0</xdr:colOff>
      <xdr:row>24</xdr:row>
      <xdr:rowOff>171785</xdr:rowOff>
    </xdr:to>
    <xdr:pic>
      <xdr:nvPicPr>
        <xdr:cNvPr id="1248" name="Picture 2"/>
        <xdr:cNvPicPr>
          <a:picLocks noChangeAspect="1"/>
        </xdr:cNvPicPr>
      </xdr:nvPicPr>
      <xdr:blipFill>
        <a:blip xmlns:r="http://schemas.openxmlformats.org/officeDocument/2006/relationships" r:embed="rId1"/>
        <a:stretch>
          <a:fillRect/>
        </a:stretch>
      </xdr:blipFill>
      <xdr:spPr>
        <a:xfrm>
          <a:off x="0" y="4362450"/>
          <a:ext cx="11163300" cy="714375"/>
        </a:xfrm>
        <a:prstGeom prst="rect">
          <a:avLst/>
        </a:prstGeom>
        <a:noFill/>
        <a:ln w="9525" cmpd="sng">
          <a:noFill/>
        </a:ln>
      </xdr:spPr>
    </xdr:pic>
    <xdr:clientData/>
  </xdr:twoCellAnchor>
  <xdr:twoCellAnchor>
    <xdr:from>
      <xdr:col>0</xdr:col>
      <xdr:colOff>0</xdr:colOff>
      <xdr:row>0</xdr:row>
      <xdr:rowOff>0</xdr:rowOff>
    </xdr:from>
    <xdr:to>
      <xdr:col>6</xdr:col>
      <xdr:colOff>0</xdr:colOff>
      <xdr:row>5</xdr:row>
      <xdr:rowOff>85725</xdr:rowOff>
    </xdr:to>
    <xdr:grpSp>
      <xdr:nvGrpSpPr>
        <xdr:cNvPr id="63" name="Group 19"/>
        <xdr:cNvGrpSpPr>
          <a:grpSpLocks noChangeAspect="1"/>
        </xdr:cNvGrpSpPr>
      </xdr:nvGrpSpPr>
      <xdr:grpSpPr bwMode="auto">
        <a:xfrm>
          <a:off x="11237042550" y="0"/>
          <a:ext cx="8077200" cy="1057275"/>
          <a:chOff x="18000" y="0"/>
          <a:chExt cx="1049" cy="111"/>
        </a:xfrm>
      </xdr:grpSpPr>
      <xdr:sp macro="" textlink="">
        <xdr:nvSpPr>
          <xdr:cNvPr id="64" name="AutoShape 18"/>
          <xdr:cNvSpPr>
            <a:spLocks noChangeAspect="1" noChangeArrowheads="1"/>
          </xdr:cNvSpPr>
        </xdr:nvSpPr>
        <xdr:spPr bwMode="auto">
          <a:xfrm>
            <a:off x="18000" y="0"/>
            <a:ext cx="1049" cy="1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5" name="תמונה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00" y="0"/>
            <a:ext cx="1049" cy="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6" name="תמונה 6"/>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000" y="0"/>
            <a:ext cx="983" cy="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7" name="תמונה 7"/>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010" y="0"/>
            <a:ext cx="674" cy="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68" name="Rectangle 23"/>
          <xdr:cNvSpPr>
            <a:spLocks noChangeArrowheads="1"/>
          </xdr:cNvSpPr>
        </xdr:nvSpPr>
        <xdr:spPr bwMode="auto">
          <a:xfrm>
            <a:off x="18069" y="69"/>
            <a:ext cx="132" cy="6"/>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pic>
        <xdr:nvPicPr>
          <xdr:cNvPr id="69" name="תמונה 9"/>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068" y="30"/>
            <a:ext cx="134" cy="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0" name="תמונה 10"/>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068" y="30"/>
            <a:ext cx="129" cy="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1" name="תמונה 11"/>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8076" y="30"/>
            <a:ext cx="76" cy="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2" name="תמונה 12"/>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8068" y="71"/>
            <a:ext cx="134" cy="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3" name="תמונה 13"/>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068" y="71"/>
            <a:ext cx="126" cy="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4" name="תמונה 14"/>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070" y="71"/>
            <a:ext cx="86" cy="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75" name="Freeform 30"/>
          <xdr:cNvSpPr>
            <a:spLocks noEditPoints="1"/>
          </xdr:cNvSpPr>
        </xdr:nvSpPr>
        <xdr:spPr bwMode="auto">
          <a:xfrm>
            <a:off x="18071" y="33"/>
            <a:ext cx="128" cy="76"/>
          </a:xfrm>
          <a:custGeom>
            <a:avLst/>
            <a:gdLst>
              <a:gd name="T0" fmla="*/ 0 w 128"/>
              <a:gd name="T1" fmla="*/ 76 h 76"/>
              <a:gd name="T2" fmla="*/ 0 w 128"/>
              <a:gd name="T3" fmla="*/ 0 h 76"/>
              <a:gd name="T4" fmla="*/ 128 w 128"/>
              <a:gd name="T5" fmla="*/ 0 h 76"/>
              <a:gd name="T6" fmla="*/ 128 w 128"/>
              <a:gd name="T7" fmla="*/ 75 h 76"/>
              <a:gd name="T8" fmla="*/ 128 w 128"/>
              <a:gd name="T9" fmla="*/ 76 h 76"/>
              <a:gd name="T10" fmla="*/ 0 w 128"/>
              <a:gd name="T11" fmla="*/ 76 h 76"/>
              <a:gd name="T12" fmla="*/ 0 w 128"/>
              <a:gd name="T13" fmla="*/ 76 h 76"/>
              <a:gd name="T14" fmla="*/ 127 w 128"/>
              <a:gd name="T15" fmla="*/ 75 h 76"/>
              <a:gd name="T16" fmla="*/ 127 w 128"/>
              <a:gd name="T17" fmla="*/ 75 h 76"/>
              <a:gd name="T18" fmla="*/ 127 w 128"/>
              <a:gd name="T19" fmla="*/ 75 h 76"/>
              <a:gd name="T20" fmla="*/ 127 w 128"/>
              <a:gd name="T21" fmla="*/ 75 h 76"/>
              <a:gd name="T22" fmla="*/ 2 w 128"/>
              <a:gd name="T23" fmla="*/ 75 h 76"/>
              <a:gd name="T24" fmla="*/ 126 w 128"/>
              <a:gd name="T25" fmla="*/ 75 h 76"/>
              <a:gd name="T26" fmla="*/ 126 w 128"/>
              <a:gd name="T27" fmla="*/ 1 h 76"/>
              <a:gd name="T28" fmla="*/ 2 w 128"/>
              <a:gd name="T29" fmla="*/ 1 h 76"/>
              <a:gd name="T30" fmla="*/ 2 w 128"/>
              <a:gd name="T31" fmla="*/ 75 h 76"/>
              <a:gd name="T32" fmla="*/ 2 w 128"/>
              <a:gd name="T33" fmla="*/ 75 h 7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128"/>
              <a:gd name="T52" fmla="*/ 0 h 76"/>
              <a:gd name="T53" fmla="*/ 128 w 128"/>
              <a:gd name="T54" fmla="*/ 76 h 7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128" h="76">
                <a:moveTo>
                  <a:pt x="0" y="76"/>
                </a:moveTo>
                <a:lnTo>
                  <a:pt x="0" y="0"/>
                </a:lnTo>
                <a:lnTo>
                  <a:pt x="128" y="0"/>
                </a:lnTo>
                <a:lnTo>
                  <a:pt x="128" y="75"/>
                </a:lnTo>
                <a:lnTo>
                  <a:pt x="128" y="76"/>
                </a:lnTo>
                <a:lnTo>
                  <a:pt x="0" y="76"/>
                </a:lnTo>
                <a:close/>
                <a:moveTo>
                  <a:pt x="127" y="75"/>
                </a:moveTo>
                <a:lnTo>
                  <a:pt x="127" y="75"/>
                </a:lnTo>
                <a:close/>
                <a:moveTo>
                  <a:pt x="2" y="75"/>
                </a:moveTo>
                <a:lnTo>
                  <a:pt x="126" y="75"/>
                </a:lnTo>
                <a:lnTo>
                  <a:pt x="126" y="1"/>
                </a:lnTo>
                <a:lnTo>
                  <a:pt x="2" y="1"/>
                </a:lnTo>
                <a:lnTo>
                  <a:pt x="2" y="75"/>
                </a:lnTo>
                <a:close/>
              </a:path>
            </a:pathLst>
          </a:custGeom>
          <a:solidFill>
            <a:srgbClr val="FFFF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76" name="Freeform 31"/>
          <xdr:cNvSpPr>
            <a:spLocks noEditPoints="1"/>
          </xdr:cNvSpPr>
        </xdr:nvSpPr>
        <xdr:spPr bwMode="auto">
          <a:xfrm>
            <a:off x="18096" y="41"/>
            <a:ext cx="78" cy="20"/>
          </a:xfrm>
          <a:custGeom>
            <a:avLst/>
            <a:gdLst>
              <a:gd name="T0" fmla="*/ 0 w 228"/>
              <a:gd name="T1" fmla="*/ 0 h 64"/>
              <a:gd name="T2" fmla="*/ 0 w 228"/>
              <a:gd name="T3" fmla="*/ 0 h 64"/>
              <a:gd name="T4" fmla="*/ 0 w 228"/>
              <a:gd name="T5" fmla="*/ 0 h 64"/>
              <a:gd name="T6" fmla="*/ 0 w 228"/>
              <a:gd name="T7" fmla="*/ 0 h 64"/>
              <a:gd name="T8" fmla="*/ 0 w 228"/>
              <a:gd name="T9" fmla="*/ 0 h 64"/>
              <a:gd name="T10" fmla="*/ 0 w 228"/>
              <a:gd name="T11" fmla="*/ 0 h 64"/>
              <a:gd name="T12" fmla="*/ 0 w 228"/>
              <a:gd name="T13" fmla="*/ 0 h 64"/>
              <a:gd name="T14" fmla="*/ 0 w 228"/>
              <a:gd name="T15" fmla="*/ 0 h 64"/>
              <a:gd name="T16" fmla="*/ 0 w 228"/>
              <a:gd name="T17" fmla="*/ 0 h 64"/>
              <a:gd name="T18" fmla="*/ 0 w 228"/>
              <a:gd name="T19" fmla="*/ 0 h 64"/>
              <a:gd name="T20" fmla="*/ 0 w 228"/>
              <a:gd name="T21" fmla="*/ 0 h 64"/>
              <a:gd name="T22" fmla="*/ 0 w 228"/>
              <a:gd name="T23" fmla="*/ 0 h 64"/>
              <a:gd name="T24" fmla="*/ 0 w 228"/>
              <a:gd name="T25" fmla="*/ 0 h 64"/>
              <a:gd name="T26" fmla="*/ 0 w 228"/>
              <a:gd name="T27" fmla="*/ 0 h 64"/>
              <a:gd name="T28" fmla="*/ 0 w 228"/>
              <a:gd name="T29" fmla="*/ 0 h 64"/>
              <a:gd name="T30" fmla="*/ 0 w 228"/>
              <a:gd name="T31" fmla="*/ 0 h 64"/>
              <a:gd name="T32" fmla="*/ 0 w 228"/>
              <a:gd name="T33" fmla="*/ 0 h 64"/>
              <a:gd name="T34" fmla="*/ 0 w 228"/>
              <a:gd name="T35" fmla="*/ 0 h 64"/>
              <a:gd name="T36" fmla="*/ 0 w 228"/>
              <a:gd name="T37" fmla="*/ 0 h 64"/>
              <a:gd name="T38" fmla="*/ 0 w 228"/>
              <a:gd name="T39" fmla="*/ 0 h 64"/>
              <a:gd name="T40" fmla="*/ 0 w 228"/>
              <a:gd name="T41" fmla="*/ 0 h 64"/>
              <a:gd name="T42" fmla="*/ 0 w 228"/>
              <a:gd name="T43" fmla="*/ 0 h 64"/>
              <a:gd name="T44" fmla="*/ 0 w 228"/>
              <a:gd name="T45" fmla="*/ 0 h 64"/>
              <a:gd name="T46" fmla="*/ 0 w 228"/>
              <a:gd name="T47" fmla="*/ 0 h 64"/>
              <a:gd name="T48" fmla="*/ 0 w 228"/>
              <a:gd name="T49" fmla="*/ 0 h 64"/>
              <a:gd name="T50" fmla="*/ 0 w 228"/>
              <a:gd name="T51" fmla="*/ 0 h 64"/>
              <a:gd name="T52" fmla="*/ 0 w 228"/>
              <a:gd name="T53" fmla="*/ 0 h 64"/>
              <a:gd name="T54" fmla="*/ 0 w 228"/>
              <a:gd name="T55" fmla="*/ 0 h 64"/>
              <a:gd name="T56" fmla="*/ 0 w 228"/>
              <a:gd name="T57" fmla="*/ 0 h 64"/>
              <a:gd name="T58" fmla="*/ 0 w 228"/>
              <a:gd name="T59" fmla="*/ 0 h 64"/>
              <a:gd name="T60" fmla="*/ 0 w 228"/>
              <a:gd name="T61" fmla="*/ 0 h 64"/>
              <a:gd name="T62" fmla="*/ 0 w 228"/>
              <a:gd name="T63" fmla="*/ 0 h 64"/>
              <a:gd name="T64" fmla="*/ 0 w 228"/>
              <a:gd name="T65" fmla="*/ 0 h 64"/>
              <a:gd name="T66" fmla="*/ 0 w 228"/>
              <a:gd name="T67" fmla="*/ 0 h 64"/>
              <a:gd name="T68" fmla="*/ 0 w 228"/>
              <a:gd name="T69" fmla="*/ 0 h 64"/>
              <a:gd name="T70" fmla="*/ 0 w 228"/>
              <a:gd name="T71" fmla="*/ 0 h 64"/>
              <a:gd name="T72" fmla="*/ 0 w 228"/>
              <a:gd name="T73" fmla="*/ 0 h 64"/>
              <a:gd name="T74" fmla="*/ 0 w 228"/>
              <a:gd name="T75" fmla="*/ 0 h 64"/>
              <a:gd name="T76" fmla="*/ 0 w 228"/>
              <a:gd name="T77" fmla="*/ 0 h 64"/>
              <a:gd name="T78" fmla="*/ 0 w 228"/>
              <a:gd name="T79" fmla="*/ 0 h 64"/>
              <a:gd name="T80" fmla="*/ 0 w 228"/>
              <a:gd name="T81" fmla="*/ 0 h 64"/>
              <a:gd name="T82" fmla="*/ 0 w 228"/>
              <a:gd name="T83" fmla="*/ 0 h 64"/>
              <a:gd name="T84" fmla="*/ 0 w 228"/>
              <a:gd name="T85" fmla="*/ 0 h 64"/>
              <a:gd name="T86" fmla="*/ 0 w 228"/>
              <a:gd name="T87" fmla="*/ 0 h 64"/>
              <a:gd name="T88" fmla="*/ 0 w 228"/>
              <a:gd name="T89" fmla="*/ 0 h 64"/>
              <a:gd name="T90" fmla="*/ 0 w 228"/>
              <a:gd name="T91" fmla="*/ 0 h 64"/>
              <a:gd name="T92" fmla="*/ 0 w 228"/>
              <a:gd name="T93" fmla="*/ 0 h 64"/>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w 228"/>
              <a:gd name="T142" fmla="*/ 0 h 64"/>
              <a:gd name="T143" fmla="*/ 228 w 228"/>
              <a:gd name="T144" fmla="*/ 64 h 64"/>
            </a:gdLst>
            <a:ahLst/>
            <a:cxnLst>
              <a:cxn ang="T94">
                <a:pos x="T0" y="T1"/>
              </a:cxn>
              <a:cxn ang="T95">
                <a:pos x="T2" y="T3"/>
              </a:cxn>
              <a:cxn ang="T96">
                <a:pos x="T4" y="T5"/>
              </a:cxn>
              <a:cxn ang="T97">
                <a:pos x="T6" y="T7"/>
              </a:cxn>
              <a:cxn ang="T98">
                <a:pos x="T8" y="T9"/>
              </a:cxn>
              <a:cxn ang="T99">
                <a:pos x="T10" y="T11"/>
              </a:cxn>
              <a:cxn ang="T100">
                <a:pos x="T12" y="T13"/>
              </a:cxn>
              <a:cxn ang="T101">
                <a:pos x="T14" y="T15"/>
              </a:cxn>
              <a:cxn ang="T102">
                <a:pos x="T16" y="T17"/>
              </a:cxn>
              <a:cxn ang="T103">
                <a:pos x="T18" y="T19"/>
              </a:cxn>
              <a:cxn ang="T104">
                <a:pos x="T20" y="T21"/>
              </a:cxn>
              <a:cxn ang="T105">
                <a:pos x="T22" y="T23"/>
              </a:cxn>
              <a:cxn ang="T106">
                <a:pos x="T24" y="T25"/>
              </a:cxn>
              <a:cxn ang="T107">
                <a:pos x="T26" y="T27"/>
              </a:cxn>
              <a:cxn ang="T108">
                <a:pos x="T28" y="T29"/>
              </a:cxn>
              <a:cxn ang="T109">
                <a:pos x="T30" y="T31"/>
              </a:cxn>
              <a:cxn ang="T110">
                <a:pos x="T32" y="T33"/>
              </a:cxn>
              <a:cxn ang="T111">
                <a:pos x="T34" y="T35"/>
              </a:cxn>
              <a:cxn ang="T112">
                <a:pos x="T36" y="T37"/>
              </a:cxn>
              <a:cxn ang="T113">
                <a:pos x="T38" y="T39"/>
              </a:cxn>
              <a:cxn ang="T114">
                <a:pos x="T40" y="T41"/>
              </a:cxn>
              <a:cxn ang="T115">
                <a:pos x="T42" y="T43"/>
              </a:cxn>
              <a:cxn ang="T116">
                <a:pos x="T44" y="T45"/>
              </a:cxn>
              <a:cxn ang="T117">
                <a:pos x="T46" y="T47"/>
              </a:cxn>
              <a:cxn ang="T118">
                <a:pos x="T48" y="T49"/>
              </a:cxn>
              <a:cxn ang="T119">
                <a:pos x="T50" y="T51"/>
              </a:cxn>
              <a:cxn ang="T120">
                <a:pos x="T52" y="T53"/>
              </a:cxn>
              <a:cxn ang="T121">
                <a:pos x="T54" y="T55"/>
              </a:cxn>
              <a:cxn ang="T122">
                <a:pos x="T56" y="T57"/>
              </a:cxn>
              <a:cxn ang="T123">
                <a:pos x="T58" y="T59"/>
              </a:cxn>
              <a:cxn ang="T124">
                <a:pos x="T60" y="T61"/>
              </a:cxn>
              <a:cxn ang="T125">
                <a:pos x="T62" y="T63"/>
              </a:cxn>
              <a:cxn ang="T126">
                <a:pos x="T64" y="T65"/>
              </a:cxn>
              <a:cxn ang="T127">
                <a:pos x="T66" y="T67"/>
              </a:cxn>
              <a:cxn ang="T128">
                <a:pos x="T68" y="T69"/>
              </a:cxn>
              <a:cxn ang="T129">
                <a:pos x="T70" y="T71"/>
              </a:cxn>
              <a:cxn ang="T130">
                <a:pos x="T72" y="T73"/>
              </a:cxn>
              <a:cxn ang="T131">
                <a:pos x="T74" y="T75"/>
              </a:cxn>
              <a:cxn ang="T132">
                <a:pos x="T76" y="T77"/>
              </a:cxn>
              <a:cxn ang="T133">
                <a:pos x="T78" y="T79"/>
              </a:cxn>
              <a:cxn ang="T134">
                <a:pos x="T80" y="T81"/>
              </a:cxn>
              <a:cxn ang="T135">
                <a:pos x="T82" y="T83"/>
              </a:cxn>
              <a:cxn ang="T136">
                <a:pos x="T84" y="T85"/>
              </a:cxn>
              <a:cxn ang="T137">
                <a:pos x="T86" y="T87"/>
              </a:cxn>
              <a:cxn ang="T138">
                <a:pos x="T88" y="T89"/>
              </a:cxn>
              <a:cxn ang="T139">
                <a:pos x="T90" y="T91"/>
              </a:cxn>
              <a:cxn ang="T140">
                <a:pos x="T92" y="T93"/>
              </a:cxn>
            </a:cxnLst>
            <a:rect l="T141" t="T142" r="T143" b="T144"/>
            <a:pathLst>
              <a:path w="228" h="64">
                <a:moveTo>
                  <a:pt x="30" y="17"/>
                </a:moveTo>
                <a:cubicBezTo>
                  <a:pt x="28" y="17"/>
                  <a:pt x="26" y="17"/>
                  <a:pt x="23" y="19"/>
                </a:cubicBezTo>
                <a:cubicBezTo>
                  <a:pt x="22" y="20"/>
                  <a:pt x="20" y="23"/>
                  <a:pt x="19" y="29"/>
                </a:cubicBezTo>
                <a:cubicBezTo>
                  <a:pt x="20" y="29"/>
                  <a:pt x="20" y="29"/>
                  <a:pt x="20" y="29"/>
                </a:cubicBezTo>
                <a:cubicBezTo>
                  <a:pt x="22" y="27"/>
                  <a:pt x="25" y="26"/>
                  <a:pt x="28" y="26"/>
                </a:cubicBezTo>
                <a:cubicBezTo>
                  <a:pt x="31" y="26"/>
                  <a:pt x="33" y="27"/>
                  <a:pt x="35" y="30"/>
                </a:cubicBezTo>
                <a:cubicBezTo>
                  <a:pt x="36" y="32"/>
                  <a:pt x="37" y="35"/>
                  <a:pt x="37" y="39"/>
                </a:cubicBezTo>
                <a:cubicBezTo>
                  <a:pt x="37" y="42"/>
                  <a:pt x="36" y="46"/>
                  <a:pt x="34" y="49"/>
                </a:cubicBezTo>
                <a:cubicBezTo>
                  <a:pt x="31" y="52"/>
                  <a:pt x="28" y="54"/>
                  <a:pt x="25" y="54"/>
                </a:cubicBezTo>
                <a:cubicBezTo>
                  <a:pt x="17" y="54"/>
                  <a:pt x="14" y="49"/>
                  <a:pt x="14" y="39"/>
                </a:cubicBezTo>
                <a:cubicBezTo>
                  <a:pt x="14" y="38"/>
                  <a:pt x="14" y="36"/>
                  <a:pt x="14" y="34"/>
                </a:cubicBezTo>
                <a:cubicBezTo>
                  <a:pt x="14" y="31"/>
                  <a:pt x="14" y="30"/>
                  <a:pt x="14" y="29"/>
                </a:cubicBezTo>
                <a:cubicBezTo>
                  <a:pt x="14" y="25"/>
                  <a:pt x="14" y="22"/>
                  <a:pt x="12" y="21"/>
                </a:cubicBezTo>
                <a:cubicBezTo>
                  <a:pt x="11" y="20"/>
                  <a:pt x="10" y="19"/>
                  <a:pt x="8" y="19"/>
                </a:cubicBezTo>
                <a:cubicBezTo>
                  <a:pt x="7" y="17"/>
                  <a:pt x="7" y="16"/>
                  <a:pt x="6" y="15"/>
                </a:cubicBezTo>
                <a:cubicBezTo>
                  <a:pt x="5" y="15"/>
                  <a:pt x="5" y="15"/>
                  <a:pt x="5" y="15"/>
                </a:cubicBezTo>
                <a:cubicBezTo>
                  <a:pt x="0" y="24"/>
                  <a:pt x="0" y="24"/>
                  <a:pt x="0" y="24"/>
                </a:cubicBezTo>
                <a:cubicBezTo>
                  <a:pt x="0" y="24"/>
                  <a:pt x="1" y="25"/>
                  <a:pt x="2" y="26"/>
                </a:cubicBezTo>
                <a:cubicBezTo>
                  <a:pt x="3" y="27"/>
                  <a:pt x="4" y="27"/>
                  <a:pt x="5" y="28"/>
                </a:cubicBezTo>
                <a:cubicBezTo>
                  <a:pt x="7" y="29"/>
                  <a:pt x="8" y="32"/>
                  <a:pt x="8" y="36"/>
                </a:cubicBezTo>
                <a:cubicBezTo>
                  <a:pt x="8" y="46"/>
                  <a:pt x="9" y="52"/>
                  <a:pt x="11" y="55"/>
                </a:cubicBezTo>
                <a:cubicBezTo>
                  <a:pt x="13" y="60"/>
                  <a:pt x="17" y="63"/>
                  <a:pt x="23" y="63"/>
                </a:cubicBezTo>
                <a:cubicBezTo>
                  <a:pt x="28" y="63"/>
                  <a:pt x="33" y="60"/>
                  <a:pt x="38" y="54"/>
                </a:cubicBezTo>
                <a:cubicBezTo>
                  <a:pt x="42" y="48"/>
                  <a:pt x="44" y="42"/>
                  <a:pt x="44" y="35"/>
                </a:cubicBezTo>
                <a:cubicBezTo>
                  <a:pt x="44" y="30"/>
                  <a:pt x="43" y="26"/>
                  <a:pt x="40" y="23"/>
                </a:cubicBezTo>
                <a:cubicBezTo>
                  <a:pt x="38" y="19"/>
                  <a:pt x="34" y="17"/>
                  <a:pt x="30" y="17"/>
                </a:cubicBezTo>
                <a:close/>
                <a:moveTo>
                  <a:pt x="82" y="19"/>
                </a:moveTo>
                <a:cubicBezTo>
                  <a:pt x="59" y="19"/>
                  <a:pt x="59" y="19"/>
                  <a:pt x="59" y="19"/>
                </a:cubicBezTo>
                <a:cubicBezTo>
                  <a:pt x="58" y="19"/>
                  <a:pt x="57" y="19"/>
                  <a:pt x="56" y="18"/>
                </a:cubicBezTo>
                <a:cubicBezTo>
                  <a:pt x="55" y="17"/>
                  <a:pt x="55" y="16"/>
                  <a:pt x="55" y="15"/>
                </a:cubicBezTo>
                <a:cubicBezTo>
                  <a:pt x="53" y="15"/>
                  <a:pt x="53" y="15"/>
                  <a:pt x="53" y="15"/>
                </a:cubicBezTo>
                <a:cubicBezTo>
                  <a:pt x="48" y="24"/>
                  <a:pt x="48" y="24"/>
                  <a:pt x="48" y="24"/>
                </a:cubicBezTo>
                <a:cubicBezTo>
                  <a:pt x="49" y="25"/>
                  <a:pt x="50" y="25"/>
                  <a:pt x="51" y="26"/>
                </a:cubicBezTo>
                <a:cubicBezTo>
                  <a:pt x="52" y="27"/>
                  <a:pt x="53" y="27"/>
                  <a:pt x="53" y="28"/>
                </a:cubicBezTo>
                <a:cubicBezTo>
                  <a:pt x="54" y="29"/>
                  <a:pt x="55" y="30"/>
                  <a:pt x="55" y="32"/>
                </a:cubicBezTo>
                <a:cubicBezTo>
                  <a:pt x="56" y="37"/>
                  <a:pt x="56" y="37"/>
                  <a:pt x="56" y="37"/>
                </a:cubicBezTo>
                <a:cubicBezTo>
                  <a:pt x="56" y="45"/>
                  <a:pt x="57" y="52"/>
                  <a:pt x="59" y="55"/>
                </a:cubicBezTo>
                <a:cubicBezTo>
                  <a:pt x="61" y="61"/>
                  <a:pt x="65" y="63"/>
                  <a:pt x="71" y="63"/>
                </a:cubicBezTo>
                <a:cubicBezTo>
                  <a:pt x="77" y="63"/>
                  <a:pt x="82" y="60"/>
                  <a:pt x="86" y="54"/>
                </a:cubicBezTo>
                <a:cubicBezTo>
                  <a:pt x="90" y="48"/>
                  <a:pt x="92" y="42"/>
                  <a:pt x="92" y="35"/>
                </a:cubicBezTo>
                <a:cubicBezTo>
                  <a:pt x="92" y="31"/>
                  <a:pt x="91" y="27"/>
                  <a:pt x="89" y="24"/>
                </a:cubicBezTo>
                <a:cubicBezTo>
                  <a:pt x="88" y="21"/>
                  <a:pt x="85" y="19"/>
                  <a:pt x="82" y="19"/>
                </a:cubicBezTo>
                <a:close/>
                <a:moveTo>
                  <a:pt x="82" y="49"/>
                </a:moveTo>
                <a:cubicBezTo>
                  <a:pt x="79" y="52"/>
                  <a:pt x="76" y="54"/>
                  <a:pt x="73" y="54"/>
                </a:cubicBezTo>
                <a:cubicBezTo>
                  <a:pt x="69" y="54"/>
                  <a:pt x="66" y="53"/>
                  <a:pt x="64" y="50"/>
                </a:cubicBezTo>
                <a:cubicBezTo>
                  <a:pt x="63" y="47"/>
                  <a:pt x="62" y="43"/>
                  <a:pt x="62" y="39"/>
                </a:cubicBezTo>
                <a:cubicBezTo>
                  <a:pt x="62" y="34"/>
                  <a:pt x="62" y="31"/>
                  <a:pt x="62" y="28"/>
                </a:cubicBezTo>
                <a:cubicBezTo>
                  <a:pt x="80" y="28"/>
                  <a:pt x="80" y="28"/>
                  <a:pt x="80" y="28"/>
                </a:cubicBezTo>
                <a:cubicBezTo>
                  <a:pt x="82" y="28"/>
                  <a:pt x="83" y="29"/>
                  <a:pt x="84" y="31"/>
                </a:cubicBezTo>
                <a:cubicBezTo>
                  <a:pt x="85" y="33"/>
                  <a:pt x="85" y="36"/>
                  <a:pt x="85" y="39"/>
                </a:cubicBezTo>
                <a:cubicBezTo>
                  <a:pt x="85" y="42"/>
                  <a:pt x="84" y="46"/>
                  <a:pt x="82" y="49"/>
                </a:cubicBezTo>
                <a:close/>
                <a:moveTo>
                  <a:pt x="108" y="19"/>
                </a:moveTo>
                <a:cubicBezTo>
                  <a:pt x="105" y="18"/>
                  <a:pt x="103" y="17"/>
                  <a:pt x="103" y="15"/>
                </a:cubicBezTo>
                <a:cubicBezTo>
                  <a:pt x="101" y="15"/>
                  <a:pt x="101" y="15"/>
                  <a:pt x="101" y="15"/>
                </a:cubicBezTo>
                <a:cubicBezTo>
                  <a:pt x="99" y="19"/>
                  <a:pt x="98" y="22"/>
                  <a:pt x="97" y="24"/>
                </a:cubicBezTo>
                <a:cubicBezTo>
                  <a:pt x="98" y="25"/>
                  <a:pt x="99" y="26"/>
                  <a:pt x="100" y="26"/>
                </a:cubicBezTo>
                <a:cubicBezTo>
                  <a:pt x="101" y="27"/>
                  <a:pt x="102" y="27"/>
                  <a:pt x="104" y="28"/>
                </a:cubicBezTo>
                <a:cubicBezTo>
                  <a:pt x="105" y="28"/>
                  <a:pt x="106" y="29"/>
                  <a:pt x="106" y="30"/>
                </a:cubicBezTo>
                <a:cubicBezTo>
                  <a:pt x="107" y="30"/>
                  <a:pt x="107" y="31"/>
                  <a:pt x="107" y="33"/>
                </a:cubicBezTo>
                <a:cubicBezTo>
                  <a:pt x="107" y="37"/>
                  <a:pt x="105" y="42"/>
                  <a:pt x="102" y="47"/>
                </a:cubicBezTo>
                <a:cubicBezTo>
                  <a:pt x="104" y="48"/>
                  <a:pt x="104" y="48"/>
                  <a:pt x="104" y="48"/>
                </a:cubicBezTo>
                <a:cubicBezTo>
                  <a:pt x="106" y="46"/>
                  <a:pt x="108" y="44"/>
                  <a:pt x="111" y="40"/>
                </a:cubicBezTo>
                <a:cubicBezTo>
                  <a:pt x="113" y="35"/>
                  <a:pt x="115" y="31"/>
                  <a:pt x="115" y="27"/>
                </a:cubicBezTo>
                <a:cubicBezTo>
                  <a:pt x="115" y="25"/>
                  <a:pt x="114" y="23"/>
                  <a:pt x="113" y="22"/>
                </a:cubicBezTo>
                <a:cubicBezTo>
                  <a:pt x="112" y="21"/>
                  <a:pt x="110" y="20"/>
                  <a:pt x="108" y="19"/>
                </a:cubicBezTo>
                <a:close/>
                <a:moveTo>
                  <a:pt x="149" y="21"/>
                </a:moveTo>
                <a:cubicBezTo>
                  <a:pt x="148" y="20"/>
                  <a:pt x="145" y="19"/>
                  <a:pt x="142" y="19"/>
                </a:cubicBezTo>
                <a:cubicBezTo>
                  <a:pt x="130" y="19"/>
                  <a:pt x="130" y="19"/>
                  <a:pt x="130" y="19"/>
                </a:cubicBezTo>
                <a:cubicBezTo>
                  <a:pt x="129" y="19"/>
                  <a:pt x="128" y="19"/>
                  <a:pt x="128" y="19"/>
                </a:cubicBezTo>
                <a:cubicBezTo>
                  <a:pt x="127" y="18"/>
                  <a:pt x="127" y="17"/>
                  <a:pt x="127" y="15"/>
                </a:cubicBezTo>
                <a:cubicBezTo>
                  <a:pt x="127" y="14"/>
                  <a:pt x="127" y="13"/>
                  <a:pt x="128" y="11"/>
                </a:cubicBezTo>
                <a:cubicBezTo>
                  <a:pt x="128" y="9"/>
                  <a:pt x="128" y="8"/>
                  <a:pt x="128" y="6"/>
                </a:cubicBezTo>
                <a:cubicBezTo>
                  <a:pt x="128" y="4"/>
                  <a:pt x="128" y="2"/>
                  <a:pt x="127" y="0"/>
                </a:cubicBezTo>
                <a:cubicBezTo>
                  <a:pt x="125" y="0"/>
                  <a:pt x="125" y="0"/>
                  <a:pt x="125" y="0"/>
                </a:cubicBezTo>
                <a:cubicBezTo>
                  <a:pt x="120" y="8"/>
                  <a:pt x="120" y="8"/>
                  <a:pt x="120" y="8"/>
                </a:cubicBezTo>
                <a:cubicBezTo>
                  <a:pt x="121" y="11"/>
                  <a:pt x="121" y="14"/>
                  <a:pt x="121" y="17"/>
                </a:cubicBezTo>
                <a:cubicBezTo>
                  <a:pt x="121" y="18"/>
                  <a:pt x="121" y="18"/>
                  <a:pt x="121" y="20"/>
                </a:cubicBezTo>
                <a:cubicBezTo>
                  <a:pt x="121" y="21"/>
                  <a:pt x="121" y="22"/>
                  <a:pt x="121" y="22"/>
                </a:cubicBezTo>
                <a:cubicBezTo>
                  <a:pt x="121" y="24"/>
                  <a:pt x="121" y="25"/>
                  <a:pt x="122" y="26"/>
                </a:cubicBezTo>
                <a:cubicBezTo>
                  <a:pt x="123" y="27"/>
                  <a:pt x="124" y="28"/>
                  <a:pt x="126" y="28"/>
                </a:cubicBezTo>
                <a:cubicBezTo>
                  <a:pt x="140" y="28"/>
                  <a:pt x="140" y="28"/>
                  <a:pt x="140" y="28"/>
                </a:cubicBezTo>
                <a:cubicBezTo>
                  <a:pt x="144" y="28"/>
                  <a:pt x="145" y="30"/>
                  <a:pt x="145" y="35"/>
                </a:cubicBezTo>
                <a:cubicBezTo>
                  <a:pt x="145" y="38"/>
                  <a:pt x="145" y="40"/>
                  <a:pt x="143" y="43"/>
                </a:cubicBezTo>
                <a:cubicBezTo>
                  <a:pt x="141" y="45"/>
                  <a:pt x="139" y="47"/>
                  <a:pt x="136" y="49"/>
                </a:cubicBezTo>
                <a:cubicBezTo>
                  <a:pt x="134" y="51"/>
                  <a:pt x="131" y="52"/>
                  <a:pt x="129" y="54"/>
                </a:cubicBezTo>
                <a:cubicBezTo>
                  <a:pt x="128" y="58"/>
                  <a:pt x="128" y="61"/>
                  <a:pt x="127" y="63"/>
                </a:cubicBezTo>
                <a:cubicBezTo>
                  <a:pt x="128" y="64"/>
                  <a:pt x="128" y="64"/>
                  <a:pt x="128" y="64"/>
                </a:cubicBezTo>
                <a:cubicBezTo>
                  <a:pt x="130" y="63"/>
                  <a:pt x="132" y="61"/>
                  <a:pt x="137" y="58"/>
                </a:cubicBezTo>
                <a:cubicBezTo>
                  <a:pt x="141" y="54"/>
                  <a:pt x="144" y="51"/>
                  <a:pt x="144" y="50"/>
                </a:cubicBezTo>
                <a:cubicBezTo>
                  <a:pt x="150" y="44"/>
                  <a:pt x="152" y="37"/>
                  <a:pt x="152" y="29"/>
                </a:cubicBezTo>
                <a:cubicBezTo>
                  <a:pt x="152" y="25"/>
                  <a:pt x="151" y="23"/>
                  <a:pt x="149" y="21"/>
                </a:cubicBezTo>
                <a:close/>
                <a:moveTo>
                  <a:pt x="178" y="43"/>
                </a:moveTo>
                <a:cubicBezTo>
                  <a:pt x="178" y="41"/>
                  <a:pt x="178" y="39"/>
                  <a:pt x="179" y="35"/>
                </a:cubicBezTo>
                <a:cubicBezTo>
                  <a:pt x="179" y="32"/>
                  <a:pt x="179" y="29"/>
                  <a:pt x="179" y="28"/>
                </a:cubicBezTo>
                <a:cubicBezTo>
                  <a:pt x="179" y="25"/>
                  <a:pt x="178" y="23"/>
                  <a:pt x="176" y="22"/>
                </a:cubicBezTo>
                <a:cubicBezTo>
                  <a:pt x="175" y="21"/>
                  <a:pt x="173" y="20"/>
                  <a:pt x="170" y="19"/>
                </a:cubicBezTo>
                <a:cubicBezTo>
                  <a:pt x="168" y="18"/>
                  <a:pt x="166" y="17"/>
                  <a:pt x="165" y="15"/>
                </a:cubicBezTo>
                <a:cubicBezTo>
                  <a:pt x="164" y="15"/>
                  <a:pt x="164" y="15"/>
                  <a:pt x="164" y="15"/>
                </a:cubicBezTo>
                <a:cubicBezTo>
                  <a:pt x="162" y="19"/>
                  <a:pt x="161" y="22"/>
                  <a:pt x="160" y="24"/>
                </a:cubicBezTo>
                <a:cubicBezTo>
                  <a:pt x="161" y="25"/>
                  <a:pt x="163" y="27"/>
                  <a:pt x="167" y="28"/>
                </a:cubicBezTo>
                <a:cubicBezTo>
                  <a:pt x="169" y="29"/>
                  <a:pt x="171" y="30"/>
                  <a:pt x="171" y="32"/>
                </a:cubicBezTo>
                <a:cubicBezTo>
                  <a:pt x="172" y="33"/>
                  <a:pt x="172" y="35"/>
                  <a:pt x="172" y="38"/>
                </a:cubicBezTo>
                <a:cubicBezTo>
                  <a:pt x="172" y="41"/>
                  <a:pt x="172" y="46"/>
                  <a:pt x="172" y="53"/>
                </a:cubicBezTo>
                <a:cubicBezTo>
                  <a:pt x="169" y="53"/>
                  <a:pt x="169" y="53"/>
                  <a:pt x="169" y="53"/>
                </a:cubicBezTo>
                <a:cubicBezTo>
                  <a:pt x="166" y="53"/>
                  <a:pt x="164" y="53"/>
                  <a:pt x="160" y="53"/>
                </a:cubicBezTo>
                <a:cubicBezTo>
                  <a:pt x="159" y="62"/>
                  <a:pt x="159" y="62"/>
                  <a:pt x="159" y="62"/>
                </a:cubicBezTo>
                <a:cubicBezTo>
                  <a:pt x="165" y="62"/>
                  <a:pt x="169" y="62"/>
                  <a:pt x="170" y="62"/>
                </a:cubicBezTo>
                <a:cubicBezTo>
                  <a:pt x="178" y="62"/>
                  <a:pt x="178" y="62"/>
                  <a:pt x="178" y="62"/>
                </a:cubicBezTo>
                <a:cubicBezTo>
                  <a:pt x="179" y="54"/>
                  <a:pt x="179" y="54"/>
                  <a:pt x="179" y="54"/>
                </a:cubicBezTo>
                <a:cubicBezTo>
                  <a:pt x="178" y="51"/>
                  <a:pt x="178" y="47"/>
                  <a:pt x="178" y="43"/>
                </a:cubicBezTo>
                <a:close/>
                <a:moveTo>
                  <a:pt x="218" y="43"/>
                </a:moveTo>
                <a:cubicBezTo>
                  <a:pt x="224" y="37"/>
                  <a:pt x="227" y="32"/>
                  <a:pt x="227" y="27"/>
                </a:cubicBezTo>
                <a:cubicBezTo>
                  <a:pt x="227" y="25"/>
                  <a:pt x="225" y="23"/>
                  <a:pt x="222" y="21"/>
                </a:cubicBezTo>
                <a:cubicBezTo>
                  <a:pt x="220" y="18"/>
                  <a:pt x="218" y="17"/>
                  <a:pt x="218" y="15"/>
                </a:cubicBezTo>
                <a:cubicBezTo>
                  <a:pt x="216" y="15"/>
                  <a:pt x="216" y="15"/>
                  <a:pt x="216" y="15"/>
                </a:cubicBezTo>
                <a:cubicBezTo>
                  <a:pt x="213" y="20"/>
                  <a:pt x="212" y="23"/>
                  <a:pt x="212" y="23"/>
                </a:cubicBezTo>
                <a:cubicBezTo>
                  <a:pt x="212" y="24"/>
                  <a:pt x="214" y="26"/>
                  <a:pt x="216" y="27"/>
                </a:cubicBezTo>
                <a:cubicBezTo>
                  <a:pt x="217" y="28"/>
                  <a:pt x="218" y="30"/>
                  <a:pt x="218" y="31"/>
                </a:cubicBezTo>
                <a:cubicBezTo>
                  <a:pt x="218" y="33"/>
                  <a:pt x="218" y="34"/>
                  <a:pt x="217" y="36"/>
                </a:cubicBezTo>
                <a:cubicBezTo>
                  <a:pt x="216" y="37"/>
                  <a:pt x="215" y="38"/>
                  <a:pt x="214" y="40"/>
                </a:cubicBezTo>
                <a:cubicBezTo>
                  <a:pt x="203" y="29"/>
                  <a:pt x="203" y="29"/>
                  <a:pt x="203" y="29"/>
                </a:cubicBezTo>
                <a:cubicBezTo>
                  <a:pt x="200" y="26"/>
                  <a:pt x="198" y="24"/>
                  <a:pt x="197" y="22"/>
                </a:cubicBezTo>
                <a:cubicBezTo>
                  <a:pt x="195" y="20"/>
                  <a:pt x="194" y="17"/>
                  <a:pt x="193" y="15"/>
                </a:cubicBezTo>
                <a:cubicBezTo>
                  <a:pt x="191" y="15"/>
                  <a:pt x="191" y="15"/>
                  <a:pt x="191" y="15"/>
                </a:cubicBezTo>
                <a:cubicBezTo>
                  <a:pt x="189" y="18"/>
                  <a:pt x="188" y="21"/>
                  <a:pt x="188" y="22"/>
                </a:cubicBezTo>
                <a:cubicBezTo>
                  <a:pt x="191" y="26"/>
                  <a:pt x="193" y="30"/>
                  <a:pt x="193" y="35"/>
                </a:cubicBezTo>
                <a:cubicBezTo>
                  <a:pt x="194" y="37"/>
                  <a:pt x="193" y="41"/>
                  <a:pt x="191" y="45"/>
                </a:cubicBezTo>
                <a:cubicBezTo>
                  <a:pt x="190" y="49"/>
                  <a:pt x="189" y="53"/>
                  <a:pt x="189" y="55"/>
                </a:cubicBezTo>
                <a:cubicBezTo>
                  <a:pt x="189" y="59"/>
                  <a:pt x="191" y="62"/>
                  <a:pt x="196" y="62"/>
                </a:cubicBezTo>
                <a:cubicBezTo>
                  <a:pt x="198" y="62"/>
                  <a:pt x="200" y="61"/>
                  <a:pt x="201" y="61"/>
                </a:cubicBezTo>
                <a:cubicBezTo>
                  <a:pt x="204" y="53"/>
                  <a:pt x="204" y="53"/>
                  <a:pt x="204" y="53"/>
                </a:cubicBezTo>
                <a:cubicBezTo>
                  <a:pt x="202" y="53"/>
                  <a:pt x="200" y="53"/>
                  <a:pt x="200" y="53"/>
                </a:cubicBezTo>
                <a:cubicBezTo>
                  <a:pt x="197" y="53"/>
                  <a:pt x="196" y="51"/>
                  <a:pt x="196" y="48"/>
                </a:cubicBezTo>
                <a:cubicBezTo>
                  <a:pt x="196" y="47"/>
                  <a:pt x="196" y="45"/>
                  <a:pt x="197" y="42"/>
                </a:cubicBezTo>
                <a:cubicBezTo>
                  <a:pt x="198" y="40"/>
                  <a:pt x="199" y="38"/>
                  <a:pt x="199" y="36"/>
                </a:cubicBezTo>
                <a:cubicBezTo>
                  <a:pt x="199" y="35"/>
                  <a:pt x="199" y="35"/>
                  <a:pt x="199" y="35"/>
                </a:cubicBezTo>
                <a:cubicBezTo>
                  <a:pt x="207" y="43"/>
                  <a:pt x="207" y="43"/>
                  <a:pt x="207" y="43"/>
                </a:cubicBezTo>
                <a:cubicBezTo>
                  <a:pt x="211" y="46"/>
                  <a:pt x="214" y="49"/>
                  <a:pt x="215" y="51"/>
                </a:cubicBezTo>
                <a:cubicBezTo>
                  <a:pt x="219" y="55"/>
                  <a:pt x="222" y="59"/>
                  <a:pt x="222" y="63"/>
                </a:cubicBezTo>
                <a:cubicBezTo>
                  <a:pt x="224" y="63"/>
                  <a:pt x="224" y="63"/>
                  <a:pt x="224" y="63"/>
                </a:cubicBezTo>
                <a:cubicBezTo>
                  <a:pt x="226" y="59"/>
                  <a:pt x="227" y="56"/>
                  <a:pt x="228" y="55"/>
                </a:cubicBezTo>
                <a:cubicBezTo>
                  <a:pt x="226" y="52"/>
                  <a:pt x="223" y="48"/>
                  <a:pt x="218" y="43"/>
                </a:cubicBezTo>
                <a:close/>
              </a:path>
            </a:pathLst>
          </a:custGeom>
          <a:solidFill>
            <a:srgbClr val="FFFF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77" name="Freeform 32"/>
          <xdr:cNvSpPr>
            <a:spLocks noEditPoints="1"/>
          </xdr:cNvSpPr>
        </xdr:nvSpPr>
        <xdr:spPr bwMode="auto">
          <a:xfrm>
            <a:off x="18096" y="85"/>
            <a:ext cx="79" cy="10"/>
          </a:xfrm>
          <a:custGeom>
            <a:avLst/>
            <a:gdLst>
              <a:gd name="T0" fmla="*/ 0 w 230"/>
              <a:gd name="T1" fmla="*/ 0 h 35"/>
              <a:gd name="T2" fmla="*/ 0 w 230"/>
              <a:gd name="T3" fmla="*/ 0 h 35"/>
              <a:gd name="T4" fmla="*/ 0 w 230"/>
              <a:gd name="T5" fmla="*/ 0 h 35"/>
              <a:gd name="T6" fmla="*/ 0 w 230"/>
              <a:gd name="T7" fmla="*/ 0 h 35"/>
              <a:gd name="T8" fmla="*/ 0 w 230"/>
              <a:gd name="T9" fmla="*/ 0 h 35"/>
              <a:gd name="T10" fmla="*/ 0 w 230"/>
              <a:gd name="T11" fmla="*/ 0 h 35"/>
              <a:gd name="T12" fmla="*/ 0 w 230"/>
              <a:gd name="T13" fmla="*/ 0 h 35"/>
              <a:gd name="T14" fmla="*/ 0 w 230"/>
              <a:gd name="T15" fmla="*/ 0 h 35"/>
              <a:gd name="T16" fmla="*/ 0 w 230"/>
              <a:gd name="T17" fmla="*/ 0 h 35"/>
              <a:gd name="T18" fmla="*/ 0 w 230"/>
              <a:gd name="T19" fmla="*/ 0 h 35"/>
              <a:gd name="T20" fmla="*/ 0 w 230"/>
              <a:gd name="T21" fmla="*/ 0 h 35"/>
              <a:gd name="T22" fmla="*/ 0 w 230"/>
              <a:gd name="T23" fmla="*/ 0 h 35"/>
              <a:gd name="T24" fmla="*/ 0 w 230"/>
              <a:gd name="T25" fmla="*/ 0 h 35"/>
              <a:gd name="T26" fmla="*/ 0 w 230"/>
              <a:gd name="T27" fmla="*/ 0 h 35"/>
              <a:gd name="T28" fmla="*/ 0 w 230"/>
              <a:gd name="T29" fmla="*/ 0 h 35"/>
              <a:gd name="T30" fmla="*/ 0 w 230"/>
              <a:gd name="T31" fmla="*/ 0 h 35"/>
              <a:gd name="T32" fmla="*/ 0 w 230"/>
              <a:gd name="T33" fmla="*/ 0 h 35"/>
              <a:gd name="T34" fmla="*/ 0 w 230"/>
              <a:gd name="T35" fmla="*/ 0 h 35"/>
              <a:gd name="T36" fmla="*/ 0 w 230"/>
              <a:gd name="T37" fmla="*/ 0 h 35"/>
              <a:gd name="T38" fmla="*/ 0 w 230"/>
              <a:gd name="T39" fmla="*/ 0 h 35"/>
              <a:gd name="T40" fmla="*/ 0 w 230"/>
              <a:gd name="T41" fmla="*/ 0 h 35"/>
              <a:gd name="T42" fmla="*/ 0 w 230"/>
              <a:gd name="T43" fmla="*/ 0 h 35"/>
              <a:gd name="T44" fmla="*/ 0 w 230"/>
              <a:gd name="T45" fmla="*/ 0 h 35"/>
              <a:gd name="T46" fmla="*/ 0 w 230"/>
              <a:gd name="T47" fmla="*/ 0 h 35"/>
              <a:gd name="T48" fmla="*/ 0 w 230"/>
              <a:gd name="T49" fmla="*/ 0 h 35"/>
              <a:gd name="T50" fmla="*/ 0 w 230"/>
              <a:gd name="T51" fmla="*/ 0 h 35"/>
              <a:gd name="T52" fmla="*/ 0 w 230"/>
              <a:gd name="T53" fmla="*/ 0 h 35"/>
              <a:gd name="T54" fmla="*/ 0 w 230"/>
              <a:gd name="T55" fmla="*/ 0 h 35"/>
              <a:gd name="T56" fmla="*/ 0 w 230"/>
              <a:gd name="T57" fmla="*/ 0 h 35"/>
              <a:gd name="T58" fmla="*/ 0 w 230"/>
              <a:gd name="T59" fmla="*/ 0 h 35"/>
              <a:gd name="T60" fmla="*/ 0 w 230"/>
              <a:gd name="T61" fmla="*/ 0 h 35"/>
              <a:gd name="T62" fmla="*/ 0 w 230"/>
              <a:gd name="T63" fmla="*/ 0 h 35"/>
              <a:gd name="T64" fmla="*/ 0 w 230"/>
              <a:gd name="T65" fmla="*/ 0 h 35"/>
              <a:gd name="T66" fmla="*/ 0 w 230"/>
              <a:gd name="T67" fmla="*/ 0 h 35"/>
              <a:gd name="T68" fmla="*/ 0 w 230"/>
              <a:gd name="T69" fmla="*/ 0 h 35"/>
              <a:gd name="T70" fmla="*/ 0 w 230"/>
              <a:gd name="T71" fmla="*/ 0 h 35"/>
              <a:gd name="T72" fmla="*/ 0 w 230"/>
              <a:gd name="T73" fmla="*/ 0 h 35"/>
              <a:gd name="T74" fmla="*/ 0 w 230"/>
              <a:gd name="T75" fmla="*/ 0 h 35"/>
              <a:gd name="T76" fmla="*/ 0 w 230"/>
              <a:gd name="T77" fmla="*/ 0 h 35"/>
              <a:gd name="T78" fmla="*/ 0 w 230"/>
              <a:gd name="T79" fmla="*/ 0 h 35"/>
              <a:gd name="T80" fmla="*/ 0 w 230"/>
              <a:gd name="T81" fmla="*/ 0 h 35"/>
              <a:gd name="T82" fmla="*/ 0 w 230"/>
              <a:gd name="T83" fmla="*/ 0 h 35"/>
              <a:gd name="T84" fmla="*/ 0 w 230"/>
              <a:gd name="T85" fmla="*/ 0 h 35"/>
              <a:gd name="T86" fmla="*/ 0 w 230"/>
              <a:gd name="T87" fmla="*/ 0 h 35"/>
              <a:gd name="T88" fmla="*/ 0 w 230"/>
              <a:gd name="T89" fmla="*/ 0 h 35"/>
              <a:gd name="T90" fmla="*/ 0 w 230"/>
              <a:gd name="T91" fmla="*/ 0 h 35"/>
              <a:gd name="T92" fmla="*/ 0 w 230"/>
              <a:gd name="T93" fmla="*/ 0 h 35"/>
              <a:gd name="T94" fmla="*/ 0 w 230"/>
              <a:gd name="T95" fmla="*/ 0 h 35"/>
              <a:gd name="T96" fmla="*/ 0 w 230"/>
              <a:gd name="T97" fmla="*/ 0 h 35"/>
              <a:gd name="T98" fmla="*/ 0 w 230"/>
              <a:gd name="T99" fmla="*/ 0 h 35"/>
              <a:gd name="T100" fmla="*/ 0 w 230"/>
              <a:gd name="T101" fmla="*/ 0 h 35"/>
              <a:gd name="T102" fmla="*/ 0 w 230"/>
              <a:gd name="T103" fmla="*/ 0 h 35"/>
              <a:gd name="T104" fmla="*/ 0 w 230"/>
              <a:gd name="T105" fmla="*/ 0 h 35"/>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230"/>
              <a:gd name="T160" fmla="*/ 0 h 35"/>
              <a:gd name="T161" fmla="*/ 230 w 230"/>
              <a:gd name="T162" fmla="*/ 35 h 35"/>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230" h="35">
                <a:moveTo>
                  <a:pt x="74" y="0"/>
                </a:moveTo>
                <a:cubicBezTo>
                  <a:pt x="63" y="0"/>
                  <a:pt x="63" y="0"/>
                  <a:pt x="63" y="0"/>
                </a:cubicBezTo>
                <a:cubicBezTo>
                  <a:pt x="63" y="1"/>
                  <a:pt x="63" y="1"/>
                  <a:pt x="63" y="1"/>
                </a:cubicBezTo>
                <a:cubicBezTo>
                  <a:pt x="64" y="1"/>
                  <a:pt x="64" y="1"/>
                  <a:pt x="64" y="1"/>
                </a:cubicBezTo>
                <a:cubicBezTo>
                  <a:pt x="65" y="1"/>
                  <a:pt x="66" y="2"/>
                  <a:pt x="67" y="2"/>
                </a:cubicBezTo>
                <a:cubicBezTo>
                  <a:pt x="67" y="3"/>
                  <a:pt x="67" y="4"/>
                  <a:pt x="67" y="6"/>
                </a:cubicBezTo>
                <a:cubicBezTo>
                  <a:pt x="67" y="26"/>
                  <a:pt x="67" y="26"/>
                  <a:pt x="67" y="26"/>
                </a:cubicBezTo>
                <a:cubicBezTo>
                  <a:pt x="47" y="0"/>
                  <a:pt x="47" y="0"/>
                  <a:pt x="47" y="0"/>
                </a:cubicBezTo>
                <a:cubicBezTo>
                  <a:pt x="38" y="0"/>
                  <a:pt x="38" y="0"/>
                  <a:pt x="38" y="0"/>
                </a:cubicBezTo>
                <a:cubicBezTo>
                  <a:pt x="38" y="1"/>
                  <a:pt x="38" y="1"/>
                  <a:pt x="38" y="1"/>
                </a:cubicBezTo>
                <a:cubicBezTo>
                  <a:pt x="39" y="1"/>
                  <a:pt x="39" y="1"/>
                  <a:pt x="40" y="1"/>
                </a:cubicBezTo>
                <a:cubicBezTo>
                  <a:pt x="41" y="2"/>
                  <a:pt x="42" y="2"/>
                  <a:pt x="42" y="3"/>
                </a:cubicBezTo>
                <a:cubicBezTo>
                  <a:pt x="43" y="3"/>
                  <a:pt x="43" y="4"/>
                  <a:pt x="44" y="5"/>
                </a:cubicBezTo>
                <a:cubicBezTo>
                  <a:pt x="44" y="28"/>
                  <a:pt x="44" y="28"/>
                  <a:pt x="44" y="28"/>
                </a:cubicBezTo>
                <a:cubicBezTo>
                  <a:pt x="44" y="30"/>
                  <a:pt x="44" y="31"/>
                  <a:pt x="44" y="32"/>
                </a:cubicBezTo>
                <a:cubicBezTo>
                  <a:pt x="43" y="33"/>
                  <a:pt x="42" y="33"/>
                  <a:pt x="41" y="33"/>
                </a:cubicBezTo>
                <a:cubicBezTo>
                  <a:pt x="39" y="33"/>
                  <a:pt x="39" y="33"/>
                  <a:pt x="39" y="33"/>
                </a:cubicBezTo>
                <a:cubicBezTo>
                  <a:pt x="39" y="34"/>
                  <a:pt x="39" y="34"/>
                  <a:pt x="39" y="34"/>
                </a:cubicBezTo>
                <a:cubicBezTo>
                  <a:pt x="51" y="34"/>
                  <a:pt x="51" y="34"/>
                  <a:pt x="51" y="34"/>
                </a:cubicBezTo>
                <a:cubicBezTo>
                  <a:pt x="51" y="33"/>
                  <a:pt x="51" y="33"/>
                  <a:pt x="51" y="33"/>
                </a:cubicBezTo>
                <a:cubicBezTo>
                  <a:pt x="50" y="33"/>
                  <a:pt x="50" y="33"/>
                  <a:pt x="50" y="33"/>
                </a:cubicBezTo>
                <a:cubicBezTo>
                  <a:pt x="49" y="33"/>
                  <a:pt x="48" y="33"/>
                  <a:pt x="47" y="32"/>
                </a:cubicBezTo>
                <a:cubicBezTo>
                  <a:pt x="47" y="32"/>
                  <a:pt x="46" y="30"/>
                  <a:pt x="46" y="28"/>
                </a:cubicBezTo>
                <a:cubicBezTo>
                  <a:pt x="46" y="7"/>
                  <a:pt x="46" y="7"/>
                  <a:pt x="46" y="7"/>
                </a:cubicBezTo>
                <a:cubicBezTo>
                  <a:pt x="68" y="34"/>
                  <a:pt x="68" y="34"/>
                  <a:pt x="68" y="34"/>
                </a:cubicBezTo>
                <a:cubicBezTo>
                  <a:pt x="70" y="34"/>
                  <a:pt x="70" y="34"/>
                  <a:pt x="70" y="34"/>
                </a:cubicBezTo>
                <a:cubicBezTo>
                  <a:pt x="70" y="6"/>
                  <a:pt x="70" y="6"/>
                  <a:pt x="70" y="6"/>
                </a:cubicBezTo>
                <a:cubicBezTo>
                  <a:pt x="70" y="4"/>
                  <a:pt x="70" y="3"/>
                  <a:pt x="70" y="3"/>
                </a:cubicBezTo>
                <a:cubicBezTo>
                  <a:pt x="71" y="2"/>
                  <a:pt x="72" y="1"/>
                  <a:pt x="73" y="1"/>
                </a:cubicBezTo>
                <a:cubicBezTo>
                  <a:pt x="74" y="1"/>
                  <a:pt x="74" y="1"/>
                  <a:pt x="74" y="1"/>
                </a:cubicBezTo>
                <a:lnTo>
                  <a:pt x="74" y="0"/>
                </a:lnTo>
                <a:close/>
                <a:moveTo>
                  <a:pt x="104" y="28"/>
                </a:moveTo>
                <a:cubicBezTo>
                  <a:pt x="93" y="0"/>
                  <a:pt x="93" y="0"/>
                  <a:pt x="93" y="0"/>
                </a:cubicBezTo>
                <a:cubicBezTo>
                  <a:pt x="91" y="0"/>
                  <a:pt x="91" y="0"/>
                  <a:pt x="91" y="0"/>
                </a:cubicBezTo>
                <a:cubicBezTo>
                  <a:pt x="80" y="27"/>
                  <a:pt x="80" y="27"/>
                  <a:pt x="80" y="27"/>
                </a:cubicBezTo>
                <a:cubicBezTo>
                  <a:pt x="79" y="30"/>
                  <a:pt x="78" y="31"/>
                  <a:pt x="77" y="32"/>
                </a:cubicBezTo>
                <a:cubicBezTo>
                  <a:pt x="76" y="33"/>
                  <a:pt x="75" y="33"/>
                  <a:pt x="74" y="33"/>
                </a:cubicBezTo>
                <a:cubicBezTo>
                  <a:pt x="74" y="34"/>
                  <a:pt x="74" y="34"/>
                  <a:pt x="74" y="34"/>
                </a:cubicBezTo>
                <a:cubicBezTo>
                  <a:pt x="85" y="34"/>
                  <a:pt x="85" y="34"/>
                  <a:pt x="85" y="34"/>
                </a:cubicBezTo>
                <a:cubicBezTo>
                  <a:pt x="85" y="33"/>
                  <a:pt x="85" y="33"/>
                  <a:pt x="85" y="33"/>
                </a:cubicBezTo>
                <a:cubicBezTo>
                  <a:pt x="83" y="33"/>
                  <a:pt x="82" y="33"/>
                  <a:pt x="81" y="32"/>
                </a:cubicBezTo>
                <a:cubicBezTo>
                  <a:pt x="81" y="32"/>
                  <a:pt x="81" y="32"/>
                  <a:pt x="81" y="31"/>
                </a:cubicBezTo>
                <a:cubicBezTo>
                  <a:pt x="81" y="30"/>
                  <a:pt x="81" y="29"/>
                  <a:pt x="82" y="28"/>
                </a:cubicBezTo>
                <a:cubicBezTo>
                  <a:pt x="84" y="23"/>
                  <a:pt x="84" y="23"/>
                  <a:pt x="84" y="23"/>
                </a:cubicBezTo>
                <a:cubicBezTo>
                  <a:pt x="97" y="23"/>
                  <a:pt x="97" y="23"/>
                  <a:pt x="97" y="23"/>
                </a:cubicBezTo>
                <a:cubicBezTo>
                  <a:pt x="99" y="28"/>
                  <a:pt x="99" y="28"/>
                  <a:pt x="99" y="28"/>
                </a:cubicBezTo>
                <a:cubicBezTo>
                  <a:pt x="100" y="29"/>
                  <a:pt x="100" y="30"/>
                  <a:pt x="100" y="31"/>
                </a:cubicBezTo>
                <a:cubicBezTo>
                  <a:pt x="100" y="32"/>
                  <a:pt x="100" y="32"/>
                  <a:pt x="99" y="32"/>
                </a:cubicBezTo>
                <a:cubicBezTo>
                  <a:pt x="99" y="33"/>
                  <a:pt x="98" y="33"/>
                  <a:pt x="96" y="33"/>
                </a:cubicBezTo>
                <a:cubicBezTo>
                  <a:pt x="96" y="34"/>
                  <a:pt x="96" y="34"/>
                  <a:pt x="96" y="34"/>
                </a:cubicBezTo>
                <a:cubicBezTo>
                  <a:pt x="110" y="34"/>
                  <a:pt x="110" y="34"/>
                  <a:pt x="110" y="34"/>
                </a:cubicBezTo>
                <a:cubicBezTo>
                  <a:pt x="110" y="33"/>
                  <a:pt x="110" y="33"/>
                  <a:pt x="110" y="33"/>
                </a:cubicBezTo>
                <a:cubicBezTo>
                  <a:pt x="108" y="33"/>
                  <a:pt x="107" y="33"/>
                  <a:pt x="107" y="32"/>
                </a:cubicBezTo>
                <a:cubicBezTo>
                  <a:pt x="106" y="31"/>
                  <a:pt x="105" y="30"/>
                  <a:pt x="104" y="28"/>
                </a:cubicBezTo>
                <a:close/>
                <a:moveTo>
                  <a:pt x="85" y="21"/>
                </a:moveTo>
                <a:cubicBezTo>
                  <a:pt x="90" y="7"/>
                  <a:pt x="90" y="7"/>
                  <a:pt x="90" y="7"/>
                </a:cubicBezTo>
                <a:cubicBezTo>
                  <a:pt x="96" y="21"/>
                  <a:pt x="96" y="21"/>
                  <a:pt x="96" y="21"/>
                </a:cubicBezTo>
                <a:lnTo>
                  <a:pt x="85" y="21"/>
                </a:lnTo>
                <a:close/>
                <a:moveTo>
                  <a:pt x="30" y="28"/>
                </a:moveTo>
                <a:cubicBezTo>
                  <a:pt x="18" y="0"/>
                  <a:pt x="18" y="0"/>
                  <a:pt x="18" y="0"/>
                </a:cubicBezTo>
                <a:cubicBezTo>
                  <a:pt x="17" y="0"/>
                  <a:pt x="17" y="0"/>
                  <a:pt x="17" y="0"/>
                </a:cubicBezTo>
                <a:cubicBezTo>
                  <a:pt x="5" y="27"/>
                  <a:pt x="5" y="27"/>
                  <a:pt x="5" y="27"/>
                </a:cubicBezTo>
                <a:cubicBezTo>
                  <a:pt x="4" y="30"/>
                  <a:pt x="3" y="31"/>
                  <a:pt x="2" y="32"/>
                </a:cubicBezTo>
                <a:cubicBezTo>
                  <a:pt x="2" y="33"/>
                  <a:pt x="1" y="33"/>
                  <a:pt x="0" y="33"/>
                </a:cubicBezTo>
                <a:cubicBezTo>
                  <a:pt x="0" y="34"/>
                  <a:pt x="0" y="34"/>
                  <a:pt x="0" y="34"/>
                </a:cubicBezTo>
                <a:cubicBezTo>
                  <a:pt x="10" y="34"/>
                  <a:pt x="10" y="34"/>
                  <a:pt x="10" y="34"/>
                </a:cubicBezTo>
                <a:cubicBezTo>
                  <a:pt x="10" y="33"/>
                  <a:pt x="10" y="33"/>
                  <a:pt x="10" y="33"/>
                </a:cubicBezTo>
                <a:cubicBezTo>
                  <a:pt x="9" y="33"/>
                  <a:pt x="8" y="33"/>
                  <a:pt x="7" y="32"/>
                </a:cubicBezTo>
                <a:cubicBezTo>
                  <a:pt x="7" y="32"/>
                  <a:pt x="6" y="32"/>
                  <a:pt x="6" y="31"/>
                </a:cubicBezTo>
                <a:cubicBezTo>
                  <a:pt x="6" y="30"/>
                  <a:pt x="7" y="29"/>
                  <a:pt x="7" y="28"/>
                </a:cubicBezTo>
                <a:cubicBezTo>
                  <a:pt x="10" y="23"/>
                  <a:pt x="10" y="23"/>
                  <a:pt x="10" y="23"/>
                </a:cubicBezTo>
                <a:cubicBezTo>
                  <a:pt x="23" y="23"/>
                  <a:pt x="23" y="23"/>
                  <a:pt x="23" y="23"/>
                </a:cubicBezTo>
                <a:cubicBezTo>
                  <a:pt x="25" y="28"/>
                  <a:pt x="25" y="28"/>
                  <a:pt x="25" y="28"/>
                </a:cubicBezTo>
                <a:cubicBezTo>
                  <a:pt x="25" y="29"/>
                  <a:pt x="26" y="30"/>
                  <a:pt x="26" y="31"/>
                </a:cubicBezTo>
                <a:cubicBezTo>
                  <a:pt x="26" y="32"/>
                  <a:pt x="25" y="32"/>
                  <a:pt x="25" y="32"/>
                </a:cubicBezTo>
                <a:cubicBezTo>
                  <a:pt x="24" y="33"/>
                  <a:pt x="23" y="33"/>
                  <a:pt x="22" y="33"/>
                </a:cubicBezTo>
                <a:cubicBezTo>
                  <a:pt x="22" y="34"/>
                  <a:pt x="22" y="34"/>
                  <a:pt x="22" y="34"/>
                </a:cubicBezTo>
                <a:cubicBezTo>
                  <a:pt x="35" y="34"/>
                  <a:pt x="35" y="34"/>
                  <a:pt x="35" y="34"/>
                </a:cubicBezTo>
                <a:cubicBezTo>
                  <a:pt x="35" y="33"/>
                  <a:pt x="35" y="33"/>
                  <a:pt x="35" y="33"/>
                </a:cubicBezTo>
                <a:cubicBezTo>
                  <a:pt x="34" y="33"/>
                  <a:pt x="33" y="33"/>
                  <a:pt x="32" y="32"/>
                </a:cubicBezTo>
                <a:cubicBezTo>
                  <a:pt x="31" y="31"/>
                  <a:pt x="31" y="30"/>
                  <a:pt x="30" y="28"/>
                </a:cubicBezTo>
                <a:close/>
                <a:moveTo>
                  <a:pt x="10" y="21"/>
                </a:moveTo>
                <a:cubicBezTo>
                  <a:pt x="16" y="7"/>
                  <a:pt x="16" y="7"/>
                  <a:pt x="16" y="7"/>
                </a:cubicBezTo>
                <a:cubicBezTo>
                  <a:pt x="22" y="21"/>
                  <a:pt x="22" y="21"/>
                  <a:pt x="22" y="21"/>
                </a:cubicBezTo>
                <a:lnTo>
                  <a:pt x="10" y="21"/>
                </a:lnTo>
                <a:close/>
                <a:moveTo>
                  <a:pt x="140" y="29"/>
                </a:moveTo>
                <a:cubicBezTo>
                  <a:pt x="139" y="30"/>
                  <a:pt x="138" y="31"/>
                  <a:pt x="137" y="31"/>
                </a:cubicBezTo>
                <a:cubicBezTo>
                  <a:pt x="136" y="32"/>
                  <a:pt x="134" y="32"/>
                  <a:pt x="132" y="32"/>
                </a:cubicBezTo>
                <a:cubicBezTo>
                  <a:pt x="129" y="32"/>
                  <a:pt x="129" y="32"/>
                  <a:pt x="129" y="32"/>
                </a:cubicBezTo>
                <a:cubicBezTo>
                  <a:pt x="127" y="32"/>
                  <a:pt x="126" y="32"/>
                  <a:pt x="125" y="32"/>
                </a:cubicBezTo>
                <a:cubicBezTo>
                  <a:pt x="125" y="31"/>
                  <a:pt x="125" y="31"/>
                  <a:pt x="125" y="31"/>
                </a:cubicBezTo>
                <a:cubicBezTo>
                  <a:pt x="124" y="30"/>
                  <a:pt x="124" y="29"/>
                  <a:pt x="124" y="28"/>
                </a:cubicBezTo>
                <a:cubicBezTo>
                  <a:pt x="124" y="7"/>
                  <a:pt x="124" y="7"/>
                  <a:pt x="124" y="7"/>
                </a:cubicBezTo>
                <a:cubicBezTo>
                  <a:pt x="124" y="5"/>
                  <a:pt x="124" y="4"/>
                  <a:pt x="125" y="3"/>
                </a:cubicBezTo>
                <a:cubicBezTo>
                  <a:pt x="125" y="3"/>
                  <a:pt x="125" y="2"/>
                  <a:pt x="126" y="2"/>
                </a:cubicBezTo>
                <a:cubicBezTo>
                  <a:pt x="127" y="1"/>
                  <a:pt x="128" y="1"/>
                  <a:pt x="130" y="1"/>
                </a:cubicBezTo>
                <a:cubicBezTo>
                  <a:pt x="130" y="0"/>
                  <a:pt x="130" y="0"/>
                  <a:pt x="130" y="0"/>
                </a:cubicBezTo>
                <a:cubicBezTo>
                  <a:pt x="115" y="0"/>
                  <a:pt x="115" y="0"/>
                  <a:pt x="115" y="0"/>
                </a:cubicBezTo>
                <a:cubicBezTo>
                  <a:pt x="115" y="1"/>
                  <a:pt x="115" y="1"/>
                  <a:pt x="115" y="1"/>
                </a:cubicBezTo>
                <a:cubicBezTo>
                  <a:pt x="116" y="1"/>
                  <a:pt x="116" y="1"/>
                  <a:pt x="116" y="1"/>
                </a:cubicBezTo>
                <a:cubicBezTo>
                  <a:pt x="117" y="1"/>
                  <a:pt x="118" y="2"/>
                  <a:pt x="119" y="2"/>
                </a:cubicBezTo>
                <a:cubicBezTo>
                  <a:pt x="119" y="3"/>
                  <a:pt x="119" y="4"/>
                  <a:pt x="119" y="6"/>
                </a:cubicBezTo>
                <a:cubicBezTo>
                  <a:pt x="119" y="28"/>
                  <a:pt x="119" y="28"/>
                  <a:pt x="119" y="28"/>
                </a:cubicBezTo>
                <a:cubicBezTo>
                  <a:pt x="119" y="30"/>
                  <a:pt x="119" y="31"/>
                  <a:pt x="119" y="32"/>
                </a:cubicBezTo>
                <a:cubicBezTo>
                  <a:pt x="118" y="33"/>
                  <a:pt x="117" y="33"/>
                  <a:pt x="116" y="33"/>
                </a:cubicBezTo>
                <a:cubicBezTo>
                  <a:pt x="115" y="33"/>
                  <a:pt x="115" y="33"/>
                  <a:pt x="115" y="33"/>
                </a:cubicBezTo>
                <a:cubicBezTo>
                  <a:pt x="115" y="34"/>
                  <a:pt x="115" y="34"/>
                  <a:pt x="115" y="34"/>
                </a:cubicBezTo>
                <a:cubicBezTo>
                  <a:pt x="141" y="34"/>
                  <a:pt x="141" y="34"/>
                  <a:pt x="141" y="34"/>
                </a:cubicBezTo>
                <a:cubicBezTo>
                  <a:pt x="143" y="25"/>
                  <a:pt x="143" y="25"/>
                  <a:pt x="143" y="25"/>
                </a:cubicBezTo>
                <a:cubicBezTo>
                  <a:pt x="143" y="25"/>
                  <a:pt x="143" y="25"/>
                  <a:pt x="143" y="25"/>
                </a:cubicBezTo>
                <a:cubicBezTo>
                  <a:pt x="142" y="27"/>
                  <a:pt x="141" y="28"/>
                  <a:pt x="140" y="29"/>
                </a:cubicBezTo>
                <a:close/>
                <a:moveTo>
                  <a:pt x="163" y="1"/>
                </a:moveTo>
                <a:cubicBezTo>
                  <a:pt x="164" y="1"/>
                  <a:pt x="164" y="1"/>
                  <a:pt x="165" y="2"/>
                </a:cubicBezTo>
                <a:cubicBezTo>
                  <a:pt x="165" y="2"/>
                  <a:pt x="165" y="2"/>
                  <a:pt x="166" y="2"/>
                </a:cubicBezTo>
                <a:cubicBezTo>
                  <a:pt x="166" y="3"/>
                  <a:pt x="166" y="3"/>
                  <a:pt x="166" y="4"/>
                </a:cubicBezTo>
                <a:cubicBezTo>
                  <a:pt x="166" y="4"/>
                  <a:pt x="166" y="6"/>
                  <a:pt x="165" y="7"/>
                </a:cubicBezTo>
                <a:cubicBezTo>
                  <a:pt x="158" y="18"/>
                  <a:pt x="158" y="18"/>
                  <a:pt x="158" y="18"/>
                </a:cubicBezTo>
                <a:cubicBezTo>
                  <a:pt x="151" y="7"/>
                  <a:pt x="151" y="7"/>
                  <a:pt x="151" y="7"/>
                </a:cubicBezTo>
                <a:cubicBezTo>
                  <a:pt x="150" y="5"/>
                  <a:pt x="149" y="4"/>
                  <a:pt x="149" y="3"/>
                </a:cubicBezTo>
                <a:cubicBezTo>
                  <a:pt x="149" y="3"/>
                  <a:pt x="150" y="2"/>
                  <a:pt x="150" y="2"/>
                </a:cubicBezTo>
                <a:cubicBezTo>
                  <a:pt x="151" y="1"/>
                  <a:pt x="152" y="1"/>
                  <a:pt x="153" y="1"/>
                </a:cubicBezTo>
                <a:cubicBezTo>
                  <a:pt x="153" y="1"/>
                  <a:pt x="153" y="1"/>
                  <a:pt x="153" y="1"/>
                </a:cubicBezTo>
                <a:cubicBezTo>
                  <a:pt x="153" y="0"/>
                  <a:pt x="153" y="0"/>
                  <a:pt x="153" y="0"/>
                </a:cubicBezTo>
                <a:cubicBezTo>
                  <a:pt x="139" y="0"/>
                  <a:pt x="139" y="0"/>
                  <a:pt x="139" y="0"/>
                </a:cubicBezTo>
                <a:cubicBezTo>
                  <a:pt x="139" y="1"/>
                  <a:pt x="139" y="1"/>
                  <a:pt x="139" y="1"/>
                </a:cubicBezTo>
                <a:cubicBezTo>
                  <a:pt x="140" y="1"/>
                  <a:pt x="140" y="1"/>
                  <a:pt x="140" y="2"/>
                </a:cubicBezTo>
                <a:cubicBezTo>
                  <a:pt x="142" y="2"/>
                  <a:pt x="142" y="3"/>
                  <a:pt x="143" y="3"/>
                </a:cubicBezTo>
                <a:cubicBezTo>
                  <a:pt x="143" y="3"/>
                  <a:pt x="144" y="4"/>
                  <a:pt x="145" y="6"/>
                </a:cubicBezTo>
                <a:cubicBezTo>
                  <a:pt x="154" y="20"/>
                  <a:pt x="154" y="20"/>
                  <a:pt x="154" y="20"/>
                </a:cubicBezTo>
                <a:cubicBezTo>
                  <a:pt x="154" y="28"/>
                  <a:pt x="154" y="28"/>
                  <a:pt x="154" y="28"/>
                </a:cubicBezTo>
                <a:cubicBezTo>
                  <a:pt x="154" y="30"/>
                  <a:pt x="154" y="31"/>
                  <a:pt x="154" y="32"/>
                </a:cubicBezTo>
                <a:cubicBezTo>
                  <a:pt x="153" y="33"/>
                  <a:pt x="152" y="33"/>
                  <a:pt x="151" y="33"/>
                </a:cubicBezTo>
                <a:cubicBezTo>
                  <a:pt x="149" y="33"/>
                  <a:pt x="149" y="33"/>
                  <a:pt x="149" y="33"/>
                </a:cubicBezTo>
                <a:cubicBezTo>
                  <a:pt x="149" y="34"/>
                  <a:pt x="149" y="34"/>
                  <a:pt x="149" y="34"/>
                </a:cubicBezTo>
                <a:cubicBezTo>
                  <a:pt x="164" y="34"/>
                  <a:pt x="164" y="34"/>
                  <a:pt x="164" y="34"/>
                </a:cubicBezTo>
                <a:cubicBezTo>
                  <a:pt x="164" y="33"/>
                  <a:pt x="164" y="33"/>
                  <a:pt x="164" y="33"/>
                </a:cubicBezTo>
                <a:cubicBezTo>
                  <a:pt x="163" y="33"/>
                  <a:pt x="163" y="33"/>
                  <a:pt x="163" y="33"/>
                </a:cubicBezTo>
                <a:cubicBezTo>
                  <a:pt x="161" y="33"/>
                  <a:pt x="160" y="33"/>
                  <a:pt x="160" y="32"/>
                </a:cubicBezTo>
                <a:cubicBezTo>
                  <a:pt x="159" y="32"/>
                  <a:pt x="159" y="30"/>
                  <a:pt x="159" y="28"/>
                </a:cubicBezTo>
                <a:cubicBezTo>
                  <a:pt x="159" y="20"/>
                  <a:pt x="159" y="20"/>
                  <a:pt x="159" y="20"/>
                </a:cubicBezTo>
                <a:cubicBezTo>
                  <a:pt x="167" y="7"/>
                  <a:pt x="167" y="7"/>
                  <a:pt x="167" y="7"/>
                </a:cubicBezTo>
                <a:cubicBezTo>
                  <a:pt x="168" y="5"/>
                  <a:pt x="169" y="4"/>
                  <a:pt x="170" y="3"/>
                </a:cubicBezTo>
                <a:cubicBezTo>
                  <a:pt x="170" y="3"/>
                  <a:pt x="171" y="2"/>
                  <a:pt x="172" y="2"/>
                </a:cubicBezTo>
                <a:cubicBezTo>
                  <a:pt x="173" y="1"/>
                  <a:pt x="173" y="1"/>
                  <a:pt x="174" y="1"/>
                </a:cubicBezTo>
                <a:cubicBezTo>
                  <a:pt x="174" y="1"/>
                  <a:pt x="174" y="1"/>
                  <a:pt x="174" y="1"/>
                </a:cubicBezTo>
                <a:cubicBezTo>
                  <a:pt x="174" y="0"/>
                  <a:pt x="174" y="0"/>
                  <a:pt x="174" y="0"/>
                </a:cubicBezTo>
                <a:cubicBezTo>
                  <a:pt x="163" y="0"/>
                  <a:pt x="163" y="0"/>
                  <a:pt x="163" y="0"/>
                </a:cubicBezTo>
                <a:lnTo>
                  <a:pt x="163" y="1"/>
                </a:lnTo>
                <a:close/>
                <a:moveTo>
                  <a:pt x="229" y="0"/>
                </a:moveTo>
                <a:cubicBezTo>
                  <a:pt x="202" y="0"/>
                  <a:pt x="202" y="0"/>
                  <a:pt x="202" y="0"/>
                </a:cubicBezTo>
                <a:cubicBezTo>
                  <a:pt x="202" y="8"/>
                  <a:pt x="202" y="8"/>
                  <a:pt x="202" y="8"/>
                </a:cubicBezTo>
                <a:cubicBezTo>
                  <a:pt x="203" y="8"/>
                  <a:pt x="203" y="8"/>
                  <a:pt x="203" y="8"/>
                </a:cubicBezTo>
                <a:cubicBezTo>
                  <a:pt x="203" y="7"/>
                  <a:pt x="203" y="6"/>
                  <a:pt x="204" y="5"/>
                </a:cubicBezTo>
                <a:cubicBezTo>
                  <a:pt x="204" y="4"/>
                  <a:pt x="205" y="3"/>
                  <a:pt x="206" y="3"/>
                </a:cubicBezTo>
                <a:cubicBezTo>
                  <a:pt x="206" y="3"/>
                  <a:pt x="208" y="2"/>
                  <a:pt x="209" y="2"/>
                </a:cubicBezTo>
                <a:cubicBezTo>
                  <a:pt x="213" y="2"/>
                  <a:pt x="213" y="2"/>
                  <a:pt x="213" y="2"/>
                </a:cubicBezTo>
                <a:cubicBezTo>
                  <a:pt x="213" y="28"/>
                  <a:pt x="213" y="28"/>
                  <a:pt x="213" y="28"/>
                </a:cubicBezTo>
                <a:cubicBezTo>
                  <a:pt x="213" y="30"/>
                  <a:pt x="213" y="31"/>
                  <a:pt x="213" y="32"/>
                </a:cubicBezTo>
                <a:cubicBezTo>
                  <a:pt x="212" y="33"/>
                  <a:pt x="211" y="33"/>
                  <a:pt x="210" y="33"/>
                </a:cubicBezTo>
                <a:cubicBezTo>
                  <a:pt x="208" y="33"/>
                  <a:pt x="208" y="33"/>
                  <a:pt x="208" y="33"/>
                </a:cubicBezTo>
                <a:cubicBezTo>
                  <a:pt x="208" y="34"/>
                  <a:pt x="208" y="34"/>
                  <a:pt x="208" y="34"/>
                </a:cubicBezTo>
                <a:cubicBezTo>
                  <a:pt x="223" y="34"/>
                  <a:pt x="223" y="34"/>
                  <a:pt x="223" y="34"/>
                </a:cubicBezTo>
                <a:cubicBezTo>
                  <a:pt x="223" y="33"/>
                  <a:pt x="223" y="33"/>
                  <a:pt x="223" y="33"/>
                </a:cubicBezTo>
                <a:cubicBezTo>
                  <a:pt x="222" y="33"/>
                  <a:pt x="222" y="33"/>
                  <a:pt x="222" y="33"/>
                </a:cubicBezTo>
                <a:cubicBezTo>
                  <a:pt x="220" y="33"/>
                  <a:pt x="219" y="33"/>
                  <a:pt x="219" y="32"/>
                </a:cubicBezTo>
                <a:cubicBezTo>
                  <a:pt x="218" y="32"/>
                  <a:pt x="218" y="30"/>
                  <a:pt x="218" y="28"/>
                </a:cubicBezTo>
                <a:cubicBezTo>
                  <a:pt x="218" y="2"/>
                  <a:pt x="218" y="2"/>
                  <a:pt x="218" y="2"/>
                </a:cubicBezTo>
                <a:cubicBezTo>
                  <a:pt x="223" y="2"/>
                  <a:pt x="223" y="2"/>
                  <a:pt x="223" y="2"/>
                </a:cubicBezTo>
                <a:cubicBezTo>
                  <a:pt x="224" y="2"/>
                  <a:pt x="225" y="3"/>
                  <a:pt x="226" y="3"/>
                </a:cubicBezTo>
                <a:cubicBezTo>
                  <a:pt x="227" y="4"/>
                  <a:pt x="228" y="4"/>
                  <a:pt x="228" y="5"/>
                </a:cubicBezTo>
                <a:cubicBezTo>
                  <a:pt x="228" y="6"/>
                  <a:pt x="229" y="7"/>
                  <a:pt x="229" y="8"/>
                </a:cubicBezTo>
                <a:cubicBezTo>
                  <a:pt x="230" y="8"/>
                  <a:pt x="230" y="8"/>
                  <a:pt x="230" y="8"/>
                </a:cubicBezTo>
                <a:lnTo>
                  <a:pt x="229" y="0"/>
                </a:lnTo>
                <a:close/>
                <a:moveTo>
                  <a:pt x="195" y="18"/>
                </a:moveTo>
                <a:cubicBezTo>
                  <a:pt x="194" y="17"/>
                  <a:pt x="192" y="16"/>
                  <a:pt x="188" y="14"/>
                </a:cubicBezTo>
                <a:cubicBezTo>
                  <a:pt x="185" y="12"/>
                  <a:pt x="182" y="11"/>
                  <a:pt x="181" y="10"/>
                </a:cubicBezTo>
                <a:cubicBezTo>
                  <a:pt x="180" y="9"/>
                  <a:pt x="180" y="8"/>
                  <a:pt x="180" y="7"/>
                </a:cubicBezTo>
                <a:cubicBezTo>
                  <a:pt x="180" y="5"/>
                  <a:pt x="181" y="4"/>
                  <a:pt x="182" y="3"/>
                </a:cubicBezTo>
                <a:cubicBezTo>
                  <a:pt x="183" y="2"/>
                  <a:pt x="184" y="2"/>
                  <a:pt x="186" y="2"/>
                </a:cubicBezTo>
                <a:cubicBezTo>
                  <a:pt x="187" y="2"/>
                  <a:pt x="189" y="2"/>
                  <a:pt x="190" y="3"/>
                </a:cubicBezTo>
                <a:cubicBezTo>
                  <a:pt x="192" y="4"/>
                  <a:pt x="193" y="5"/>
                  <a:pt x="194" y="6"/>
                </a:cubicBezTo>
                <a:cubicBezTo>
                  <a:pt x="194" y="7"/>
                  <a:pt x="195" y="9"/>
                  <a:pt x="195" y="11"/>
                </a:cubicBezTo>
                <a:cubicBezTo>
                  <a:pt x="196" y="11"/>
                  <a:pt x="196" y="11"/>
                  <a:pt x="196" y="11"/>
                </a:cubicBezTo>
                <a:cubicBezTo>
                  <a:pt x="196" y="0"/>
                  <a:pt x="196" y="0"/>
                  <a:pt x="196" y="0"/>
                </a:cubicBezTo>
                <a:cubicBezTo>
                  <a:pt x="195" y="0"/>
                  <a:pt x="195" y="0"/>
                  <a:pt x="195" y="0"/>
                </a:cubicBezTo>
                <a:cubicBezTo>
                  <a:pt x="195" y="0"/>
                  <a:pt x="195" y="1"/>
                  <a:pt x="195" y="1"/>
                </a:cubicBezTo>
                <a:cubicBezTo>
                  <a:pt x="194" y="1"/>
                  <a:pt x="194" y="2"/>
                  <a:pt x="194" y="2"/>
                </a:cubicBezTo>
                <a:cubicBezTo>
                  <a:pt x="193" y="2"/>
                  <a:pt x="193" y="1"/>
                  <a:pt x="192" y="1"/>
                </a:cubicBezTo>
                <a:cubicBezTo>
                  <a:pt x="190" y="0"/>
                  <a:pt x="188" y="0"/>
                  <a:pt x="186" y="0"/>
                </a:cubicBezTo>
                <a:cubicBezTo>
                  <a:pt x="183" y="0"/>
                  <a:pt x="181" y="0"/>
                  <a:pt x="179" y="2"/>
                </a:cubicBezTo>
                <a:cubicBezTo>
                  <a:pt x="177" y="4"/>
                  <a:pt x="176" y="6"/>
                  <a:pt x="176" y="8"/>
                </a:cubicBezTo>
                <a:cubicBezTo>
                  <a:pt x="176" y="10"/>
                  <a:pt x="176" y="11"/>
                  <a:pt x="177" y="12"/>
                </a:cubicBezTo>
                <a:cubicBezTo>
                  <a:pt x="178" y="13"/>
                  <a:pt x="179" y="14"/>
                  <a:pt x="180" y="15"/>
                </a:cubicBezTo>
                <a:cubicBezTo>
                  <a:pt x="181" y="16"/>
                  <a:pt x="183" y="18"/>
                  <a:pt x="186" y="19"/>
                </a:cubicBezTo>
                <a:cubicBezTo>
                  <a:pt x="189" y="21"/>
                  <a:pt x="191" y="22"/>
                  <a:pt x="191" y="22"/>
                </a:cubicBezTo>
                <a:cubicBezTo>
                  <a:pt x="192" y="23"/>
                  <a:pt x="193" y="24"/>
                  <a:pt x="193" y="25"/>
                </a:cubicBezTo>
                <a:cubicBezTo>
                  <a:pt x="194" y="26"/>
                  <a:pt x="194" y="26"/>
                  <a:pt x="194" y="27"/>
                </a:cubicBezTo>
                <a:cubicBezTo>
                  <a:pt x="194" y="29"/>
                  <a:pt x="193" y="30"/>
                  <a:pt x="192" y="31"/>
                </a:cubicBezTo>
                <a:cubicBezTo>
                  <a:pt x="191" y="32"/>
                  <a:pt x="189" y="33"/>
                  <a:pt x="187" y="33"/>
                </a:cubicBezTo>
                <a:cubicBezTo>
                  <a:pt x="186" y="33"/>
                  <a:pt x="184" y="32"/>
                  <a:pt x="182" y="32"/>
                </a:cubicBezTo>
                <a:cubicBezTo>
                  <a:pt x="181" y="31"/>
                  <a:pt x="180" y="30"/>
                  <a:pt x="179" y="29"/>
                </a:cubicBezTo>
                <a:cubicBezTo>
                  <a:pt x="178" y="27"/>
                  <a:pt x="178" y="26"/>
                  <a:pt x="177" y="23"/>
                </a:cubicBezTo>
                <a:cubicBezTo>
                  <a:pt x="176" y="23"/>
                  <a:pt x="176" y="23"/>
                  <a:pt x="176" y="23"/>
                </a:cubicBezTo>
                <a:cubicBezTo>
                  <a:pt x="176" y="35"/>
                  <a:pt x="176" y="35"/>
                  <a:pt x="176" y="35"/>
                </a:cubicBezTo>
                <a:cubicBezTo>
                  <a:pt x="177" y="35"/>
                  <a:pt x="177" y="35"/>
                  <a:pt x="177" y="35"/>
                </a:cubicBezTo>
                <a:cubicBezTo>
                  <a:pt x="177" y="34"/>
                  <a:pt x="178" y="33"/>
                  <a:pt x="178" y="33"/>
                </a:cubicBezTo>
                <a:cubicBezTo>
                  <a:pt x="178" y="33"/>
                  <a:pt x="178" y="33"/>
                  <a:pt x="179" y="33"/>
                </a:cubicBezTo>
                <a:cubicBezTo>
                  <a:pt x="179" y="33"/>
                  <a:pt x="180" y="33"/>
                  <a:pt x="182" y="34"/>
                </a:cubicBezTo>
                <a:cubicBezTo>
                  <a:pt x="183" y="34"/>
                  <a:pt x="185" y="34"/>
                  <a:pt x="185" y="35"/>
                </a:cubicBezTo>
                <a:cubicBezTo>
                  <a:pt x="186" y="35"/>
                  <a:pt x="187" y="35"/>
                  <a:pt x="188" y="35"/>
                </a:cubicBezTo>
                <a:cubicBezTo>
                  <a:pt x="191" y="35"/>
                  <a:pt x="193" y="34"/>
                  <a:pt x="195" y="32"/>
                </a:cubicBezTo>
                <a:cubicBezTo>
                  <a:pt x="197" y="30"/>
                  <a:pt x="198" y="28"/>
                  <a:pt x="198" y="25"/>
                </a:cubicBezTo>
                <a:cubicBezTo>
                  <a:pt x="198" y="24"/>
                  <a:pt x="198" y="23"/>
                  <a:pt x="197" y="22"/>
                </a:cubicBezTo>
                <a:cubicBezTo>
                  <a:pt x="197" y="20"/>
                  <a:pt x="196" y="19"/>
                  <a:pt x="195" y="18"/>
                </a:cubicBezTo>
                <a:close/>
              </a:path>
            </a:pathLst>
          </a:custGeom>
          <a:solidFill>
            <a:srgbClr val="FFFFFF"/>
          </a:solidFill>
          <a:ln>
            <a:noFill/>
          </a:ln>
          <a:extLst>
            <a:ext uri="{91240B29-F687-4F45-9708-019B960494DF}">
              <a14:hiddenLine xmlns:a14="http://schemas.microsoft.com/office/drawing/2010/main" w="9525">
                <a:solidFill>
                  <a:srgbClr val="000000"/>
                </a:solidFill>
                <a:round/>
                <a:headEnd/>
                <a:tailEnd/>
              </a14:hiddenLine>
            </a:ext>
          </a:extLst>
        </xdr:spPr>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0</xdr:colOff>
      <xdr:row>5</xdr:row>
      <xdr:rowOff>85576</xdr:rowOff>
    </xdr:to>
    <xdr:pic>
      <xdr:nvPicPr>
        <xdr:cNvPr id="299" name="Picture 1"/>
        <xdr:cNvPicPr>
          <a:picLocks noChangeAspect="1"/>
        </xdr:cNvPicPr>
      </xdr:nvPicPr>
      <xdr:blipFill>
        <a:blip xmlns:r="http://schemas.openxmlformats.org/officeDocument/2006/relationships" r:embed="rId1"/>
        <a:stretch>
          <a:fillRect/>
        </a:stretch>
      </xdr:blipFill>
      <xdr:spPr>
        <a:xfrm>
          <a:off x="0" y="0"/>
          <a:ext cx="10163175" cy="1057275"/>
        </a:xfrm>
        <a:prstGeom prst="rect">
          <a:avLst/>
        </a:prstGeom>
        <a:noFill/>
        <a:ln w="9525" cmpd="sng">
          <a:noFill/>
        </a:ln>
      </xdr:spPr>
    </xdr:pic>
    <xdr:clientData/>
  </xdr:twoCellAnchor>
  <xdr:twoCellAnchor>
    <xdr:from>
      <xdr:col>0</xdr:col>
      <xdr:colOff>0</xdr:colOff>
      <xdr:row>21</xdr:row>
      <xdr:rowOff>28277</xdr:rowOff>
    </xdr:from>
    <xdr:to>
      <xdr:col>8</xdr:col>
      <xdr:colOff>0</xdr:colOff>
      <xdr:row>25</xdr:row>
      <xdr:rowOff>0</xdr:rowOff>
    </xdr:to>
    <xdr:pic>
      <xdr:nvPicPr>
        <xdr:cNvPr id="300" name="Picture 2"/>
        <xdr:cNvPicPr>
          <a:picLocks noChangeAspect="1"/>
        </xdr:cNvPicPr>
      </xdr:nvPicPr>
      <xdr:blipFill>
        <a:blip xmlns:r="http://schemas.openxmlformats.org/officeDocument/2006/relationships" r:embed="rId2"/>
        <a:stretch>
          <a:fillRect/>
        </a:stretch>
      </xdr:blipFill>
      <xdr:spPr>
        <a:xfrm>
          <a:off x="0" y="4438650"/>
          <a:ext cx="10163175" cy="714375"/>
        </a:xfrm>
        <a:prstGeom prst="rect">
          <a:avLst/>
        </a:prstGeom>
        <a:noFill/>
        <a:ln w="9525" cmpd="sng">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0</xdr:colOff>
      <xdr:row>5</xdr:row>
      <xdr:rowOff>85576</xdr:rowOff>
    </xdr:to>
    <xdr:pic>
      <xdr:nvPicPr>
        <xdr:cNvPr id="269" name="Picture 1"/>
        <xdr:cNvPicPr>
          <a:picLocks noChangeAspect="1"/>
        </xdr:cNvPicPr>
      </xdr:nvPicPr>
      <xdr:blipFill>
        <a:blip xmlns:r="http://schemas.openxmlformats.org/officeDocument/2006/relationships" r:embed="rId1"/>
        <a:stretch>
          <a:fillRect/>
        </a:stretch>
      </xdr:blipFill>
      <xdr:spPr>
        <a:xfrm>
          <a:off x="0" y="0"/>
          <a:ext cx="10058400" cy="1057275"/>
        </a:xfrm>
        <a:prstGeom prst="rect">
          <a:avLst/>
        </a:prstGeom>
        <a:noFill/>
        <a:ln w="9525" cmpd="sng">
          <a:noFill/>
        </a:ln>
      </xdr:spPr>
    </xdr:pic>
    <xdr:clientData/>
  </xdr:twoCellAnchor>
  <xdr:twoCellAnchor>
    <xdr:from>
      <xdr:col>0</xdr:col>
      <xdr:colOff>0</xdr:colOff>
      <xdr:row>21</xdr:row>
      <xdr:rowOff>28277</xdr:rowOff>
    </xdr:from>
    <xdr:to>
      <xdr:col>8</xdr:col>
      <xdr:colOff>0</xdr:colOff>
      <xdr:row>25</xdr:row>
      <xdr:rowOff>0</xdr:rowOff>
    </xdr:to>
    <xdr:pic>
      <xdr:nvPicPr>
        <xdr:cNvPr id="270" name="Picture 2"/>
        <xdr:cNvPicPr>
          <a:picLocks noChangeAspect="1"/>
        </xdr:cNvPicPr>
      </xdr:nvPicPr>
      <xdr:blipFill>
        <a:blip xmlns:r="http://schemas.openxmlformats.org/officeDocument/2006/relationships" r:embed="rId2"/>
        <a:stretch>
          <a:fillRect/>
        </a:stretch>
      </xdr:blipFill>
      <xdr:spPr>
        <a:xfrm>
          <a:off x="0" y="4438650"/>
          <a:ext cx="10058400" cy="714375"/>
        </a:xfrm>
        <a:prstGeom prst="rect">
          <a:avLst/>
        </a:prstGeom>
        <a:noFill/>
        <a:ln w="9525" cmpd="sng">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0</xdr:colOff>
      <xdr:row>5</xdr:row>
      <xdr:rowOff>85576</xdr:rowOff>
    </xdr:to>
    <xdr:pic>
      <xdr:nvPicPr>
        <xdr:cNvPr id="269" name="Picture 1"/>
        <xdr:cNvPicPr>
          <a:picLocks noChangeAspect="1"/>
        </xdr:cNvPicPr>
      </xdr:nvPicPr>
      <xdr:blipFill>
        <a:blip xmlns:r="http://schemas.openxmlformats.org/officeDocument/2006/relationships" r:embed="rId1"/>
        <a:stretch>
          <a:fillRect/>
        </a:stretch>
      </xdr:blipFill>
      <xdr:spPr>
        <a:xfrm>
          <a:off x="0" y="0"/>
          <a:ext cx="9991725" cy="1057275"/>
        </a:xfrm>
        <a:prstGeom prst="rect">
          <a:avLst/>
        </a:prstGeom>
        <a:noFill/>
        <a:ln w="9525" cmpd="sng">
          <a:noFill/>
        </a:ln>
      </xdr:spPr>
    </xdr:pic>
    <xdr:clientData/>
  </xdr:twoCellAnchor>
  <xdr:twoCellAnchor>
    <xdr:from>
      <xdr:col>0</xdr:col>
      <xdr:colOff>0</xdr:colOff>
      <xdr:row>20</xdr:row>
      <xdr:rowOff>28277</xdr:rowOff>
    </xdr:from>
    <xdr:to>
      <xdr:col>8</xdr:col>
      <xdr:colOff>0</xdr:colOff>
      <xdr:row>23</xdr:row>
      <xdr:rowOff>180901</xdr:rowOff>
    </xdr:to>
    <xdr:pic>
      <xdr:nvPicPr>
        <xdr:cNvPr id="270" name="Picture 2"/>
        <xdr:cNvPicPr>
          <a:picLocks noChangeAspect="1"/>
        </xdr:cNvPicPr>
      </xdr:nvPicPr>
      <xdr:blipFill>
        <a:blip xmlns:r="http://schemas.openxmlformats.org/officeDocument/2006/relationships" r:embed="rId2"/>
        <a:stretch>
          <a:fillRect/>
        </a:stretch>
      </xdr:blipFill>
      <xdr:spPr>
        <a:xfrm>
          <a:off x="0" y="4248150"/>
          <a:ext cx="9991725" cy="714375"/>
        </a:xfrm>
        <a:prstGeom prst="rect">
          <a:avLst/>
        </a:prstGeom>
        <a:noFill/>
        <a:ln w="9525" cmpd="sng">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0</xdr:colOff>
      <xdr:row>5</xdr:row>
      <xdr:rowOff>85576</xdr:rowOff>
    </xdr:to>
    <xdr:pic>
      <xdr:nvPicPr>
        <xdr:cNvPr id="223" name="Picture 1"/>
        <xdr:cNvPicPr>
          <a:picLocks noChangeAspect="1"/>
        </xdr:cNvPicPr>
      </xdr:nvPicPr>
      <xdr:blipFill>
        <a:blip xmlns:r="http://schemas.openxmlformats.org/officeDocument/2006/relationships" r:embed="rId1"/>
        <a:stretch>
          <a:fillRect/>
        </a:stretch>
      </xdr:blipFill>
      <xdr:spPr>
        <a:xfrm>
          <a:off x="0" y="0"/>
          <a:ext cx="10496550" cy="1047750"/>
        </a:xfrm>
        <a:prstGeom prst="rect">
          <a:avLst/>
        </a:prstGeom>
        <a:noFill/>
        <a:ln w="9525" cmpd="sng">
          <a:noFill/>
        </a:ln>
      </xdr:spPr>
    </xdr:pic>
    <xdr:clientData/>
  </xdr:twoCellAnchor>
  <xdr:twoCellAnchor>
    <xdr:from>
      <xdr:col>0</xdr:col>
      <xdr:colOff>0</xdr:colOff>
      <xdr:row>21</xdr:row>
      <xdr:rowOff>47625</xdr:rowOff>
    </xdr:from>
    <xdr:to>
      <xdr:col>8</xdr:col>
      <xdr:colOff>0</xdr:colOff>
      <xdr:row>25</xdr:row>
      <xdr:rowOff>19087</xdr:rowOff>
    </xdr:to>
    <xdr:pic>
      <xdr:nvPicPr>
        <xdr:cNvPr id="224" name="Picture 2"/>
        <xdr:cNvPicPr>
          <a:picLocks noChangeAspect="1"/>
        </xdr:cNvPicPr>
      </xdr:nvPicPr>
      <xdr:blipFill>
        <a:blip xmlns:r="http://schemas.openxmlformats.org/officeDocument/2006/relationships" r:embed="rId2"/>
        <a:stretch>
          <a:fillRect/>
        </a:stretch>
      </xdr:blipFill>
      <xdr:spPr>
        <a:xfrm>
          <a:off x="0" y="4629150"/>
          <a:ext cx="10496550" cy="714375"/>
        </a:xfrm>
        <a:prstGeom prst="rect">
          <a:avLst/>
        </a:prstGeom>
        <a:noFill/>
        <a:ln w="9525" cmpd="sng">
          <a:noFill/>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0</xdr:colOff>
      <xdr:row>5</xdr:row>
      <xdr:rowOff>85576</xdr:rowOff>
    </xdr:to>
    <xdr:pic>
      <xdr:nvPicPr>
        <xdr:cNvPr id="223" name="Picture 1"/>
        <xdr:cNvPicPr>
          <a:picLocks noChangeAspect="1"/>
        </xdr:cNvPicPr>
      </xdr:nvPicPr>
      <xdr:blipFill>
        <a:blip xmlns:r="http://schemas.openxmlformats.org/officeDocument/2006/relationships" r:embed="rId1"/>
        <a:stretch>
          <a:fillRect/>
        </a:stretch>
      </xdr:blipFill>
      <xdr:spPr>
        <a:xfrm>
          <a:off x="0" y="0"/>
          <a:ext cx="10439400" cy="1047750"/>
        </a:xfrm>
        <a:prstGeom prst="rect">
          <a:avLst/>
        </a:prstGeom>
        <a:noFill/>
        <a:ln w="9525" cmpd="sng">
          <a:noFill/>
        </a:ln>
      </xdr:spPr>
    </xdr:pic>
    <xdr:clientData/>
  </xdr:twoCellAnchor>
  <xdr:twoCellAnchor>
    <xdr:from>
      <xdr:col>0</xdr:col>
      <xdr:colOff>0</xdr:colOff>
      <xdr:row>20</xdr:row>
      <xdr:rowOff>28277</xdr:rowOff>
    </xdr:from>
    <xdr:to>
      <xdr:col>8</xdr:col>
      <xdr:colOff>0</xdr:colOff>
      <xdr:row>24</xdr:row>
      <xdr:rowOff>0</xdr:rowOff>
    </xdr:to>
    <xdr:pic>
      <xdr:nvPicPr>
        <xdr:cNvPr id="224" name="Picture 2"/>
        <xdr:cNvPicPr>
          <a:picLocks noChangeAspect="1"/>
        </xdr:cNvPicPr>
      </xdr:nvPicPr>
      <xdr:blipFill>
        <a:blip xmlns:r="http://schemas.openxmlformats.org/officeDocument/2006/relationships" r:embed="rId2"/>
        <a:stretch>
          <a:fillRect/>
        </a:stretch>
      </xdr:blipFill>
      <xdr:spPr>
        <a:xfrm>
          <a:off x="0" y="4543425"/>
          <a:ext cx="10439400" cy="714375"/>
        </a:xfrm>
        <a:prstGeom prst="rect">
          <a:avLst/>
        </a:prstGeom>
        <a:noFill/>
        <a:ln w="9525" cmpd="sng">
          <a:noFill/>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0</xdr:colOff>
      <xdr:row>5</xdr:row>
      <xdr:rowOff>75902</xdr:rowOff>
    </xdr:to>
    <xdr:pic>
      <xdr:nvPicPr>
        <xdr:cNvPr id="93" name="Picture 1"/>
        <xdr:cNvPicPr>
          <a:picLocks noChangeAspect="1"/>
        </xdr:cNvPicPr>
      </xdr:nvPicPr>
      <xdr:blipFill>
        <a:blip xmlns:r="http://schemas.openxmlformats.org/officeDocument/2006/relationships" r:embed="rId1"/>
        <a:stretch>
          <a:fillRect/>
        </a:stretch>
      </xdr:blipFill>
      <xdr:spPr>
        <a:xfrm>
          <a:off x="0" y="0"/>
          <a:ext cx="10439400" cy="1038225"/>
        </a:xfrm>
        <a:prstGeom prst="rect">
          <a:avLst/>
        </a:prstGeom>
        <a:noFill/>
        <a:ln w="9525" cmpd="sng">
          <a:noFill/>
        </a:ln>
      </xdr:spPr>
    </xdr:pic>
    <xdr:clientData/>
  </xdr:twoCellAnchor>
  <xdr:twoCellAnchor>
    <xdr:from>
      <xdr:col>0</xdr:col>
      <xdr:colOff>0</xdr:colOff>
      <xdr:row>22</xdr:row>
      <xdr:rowOff>0</xdr:rowOff>
    </xdr:from>
    <xdr:to>
      <xdr:col>8</xdr:col>
      <xdr:colOff>0</xdr:colOff>
      <xdr:row>24</xdr:row>
      <xdr:rowOff>142801</xdr:rowOff>
    </xdr:to>
    <xdr:pic>
      <xdr:nvPicPr>
        <xdr:cNvPr id="94" name="Picture 2"/>
        <xdr:cNvPicPr>
          <a:picLocks noChangeAspect="1"/>
        </xdr:cNvPicPr>
      </xdr:nvPicPr>
      <xdr:blipFill>
        <a:blip xmlns:r="http://schemas.openxmlformats.org/officeDocument/2006/relationships" r:embed="rId2"/>
        <a:stretch>
          <a:fillRect/>
        </a:stretch>
      </xdr:blipFill>
      <xdr:spPr>
        <a:xfrm>
          <a:off x="0" y="4772025"/>
          <a:ext cx="10439400" cy="514350"/>
        </a:xfrm>
        <a:prstGeom prst="rect">
          <a:avLst/>
        </a:prstGeom>
        <a:noFill/>
        <a:ln w="9525" cmpd="sng">
          <a:noFill/>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19</xdr:row>
      <xdr:rowOff>76349</xdr:rowOff>
    </xdr:from>
    <xdr:to>
      <xdr:col>4</xdr:col>
      <xdr:colOff>76349</xdr:colOff>
      <xdr:row>22</xdr:row>
      <xdr:rowOff>104626</xdr:rowOff>
    </xdr:to>
    <xdr:pic>
      <xdr:nvPicPr>
        <xdr:cNvPr id="91" name="Picture 2"/>
        <xdr:cNvPicPr>
          <a:picLocks noChangeAspect="1"/>
        </xdr:cNvPicPr>
      </xdr:nvPicPr>
      <xdr:blipFill>
        <a:blip xmlns:r="http://schemas.openxmlformats.org/officeDocument/2006/relationships" r:embed="rId1"/>
        <a:stretch>
          <a:fillRect/>
        </a:stretch>
      </xdr:blipFill>
      <xdr:spPr>
        <a:xfrm>
          <a:off x="0" y="3924300"/>
          <a:ext cx="11029950" cy="571500"/>
        </a:xfrm>
        <a:prstGeom prst="rect">
          <a:avLst/>
        </a:prstGeom>
        <a:noFill/>
        <a:ln w="9525" cmpd="sng">
          <a:noFill/>
        </a:ln>
      </xdr:spPr>
    </xdr:pic>
    <xdr:clientData/>
  </xdr:twoCellAnchor>
  <xdr:twoCellAnchor>
    <xdr:from>
      <xdr:col>0</xdr:col>
      <xdr:colOff>0</xdr:colOff>
      <xdr:row>0</xdr:row>
      <xdr:rowOff>0</xdr:rowOff>
    </xdr:from>
    <xdr:to>
      <xdr:col>3</xdr:col>
      <xdr:colOff>1086073</xdr:colOff>
      <xdr:row>5</xdr:row>
      <xdr:rowOff>75902</xdr:rowOff>
    </xdr:to>
    <xdr:pic>
      <xdr:nvPicPr>
        <xdr:cNvPr id="92" name="Picture 1"/>
        <xdr:cNvPicPr>
          <a:picLocks noChangeAspect="1"/>
        </xdr:cNvPicPr>
      </xdr:nvPicPr>
      <xdr:blipFill>
        <a:blip xmlns:r="http://schemas.openxmlformats.org/officeDocument/2006/relationships" r:embed="rId2"/>
        <a:stretch>
          <a:fillRect/>
        </a:stretch>
      </xdr:blipFill>
      <xdr:spPr>
        <a:xfrm>
          <a:off x="0" y="0"/>
          <a:ext cx="10439400" cy="1047750"/>
        </a:xfrm>
        <a:prstGeom prst="rect">
          <a:avLst/>
        </a:prstGeom>
        <a:noFill/>
        <a:ln w="9525" cmpd="sng">
          <a:noFill/>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15</xdr:row>
      <xdr:rowOff>85539</xdr:rowOff>
    </xdr:from>
    <xdr:to>
      <xdr:col>4</xdr:col>
      <xdr:colOff>29691</xdr:colOff>
      <xdr:row>18</xdr:row>
      <xdr:rowOff>66452</xdr:rowOff>
    </xdr:to>
    <xdr:pic>
      <xdr:nvPicPr>
        <xdr:cNvPr id="91" name="Picture 2"/>
        <xdr:cNvPicPr>
          <a:picLocks noChangeAspect="1"/>
        </xdr:cNvPicPr>
      </xdr:nvPicPr>
      <xdr:blipFill>
        <a:blip xmlns:r="http://schemas.openxmlformats.org/officeDocument/2006/relationships" r:embed="rId1"/>
        <a:stretch>
          <a:fillRect/>
        </a:stretch>
      </xdr:blipFill>
      <xdr:spPr>
        <a:xfrm>
          <a:off x="0" y="3905250"/>
          <a:ext cx="10086975" cy="523875"/>
        </a:xfrm>
        <a:prstGeom prst="rect">
          <a:avLst/>
        </a:prstGeom>
        <a:noFill/>
        <a:ln w="9525" cmpd="sng">
          <a:noFill/>
        </a:ln>
      </xdr:spPr>
    </xdr:pic>
    <xdr:clientData/>
  </xdr:twoCellAnchor>
  <xdr:twoCellAnchor>
    <xdr:from>
      <xdr:col>0</xdr:col>
      <xdr:colOff>0</xdr:colOff>
      <xdr:row>0</xdr:row>
      <xdr:rowOff>0</xdr:rowOff>
    </xdr:from>
    <xdr:to>
      <xdr:col>4</xdr:col>
      <xdr:colOff>381744</xdr:colOff>
      <xdr:row>6</xdr:row>
      <xdr:rowOff>0</xdr:rowOff>
    </xdr:to>
    <xdr:pic>
      <xdr:nvPicPr>
        <xdr:cNvPr id="92" name="Picture 1"/>
        <xdr:cNvPicPr>
          <a:picLocks noChangeAspect="1"/>
        </xdr:cNvPicPr>
      </xdr:nvPicPr>
      <xdr:blipFill>
        <a:blip xmlns:r="http://schemas.openxmlformats.org/officeDocument/2006/relationships" r:embed="rId2"/>
        <a:stretch>
          <a:fillRect/>
        </a:stretch>
      </xdr:blipFill>
      <xdr:spPr>
        <a:xfrm>
          <a:off x="0" y="0"/>
          <a:ext cx="10439400" cy="1162050"/>
        </a:xfrm>
        <a:prstGeom prst="rect">
          <a:avLst/>
        </a:prstGeom>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rightToLeft="1" tabSelected="1" workbookViewId="0">
      <selection activeCell="I1" sqref="I1"/>
    </sheetView>
  </sheetViews>
  <sheetFormatPr defaultColWidth="9" defaultRowHeight="14.25" x14ac:dyDescent="0.2"/>
  <cols>
    <col min="1" max="2" width="26.875" customWidth="1"/>
    <col min="3" max="3" width="13.25" customWidth="1"/>
    <col min="4" max="4" width="13.25" style="86" customWidth="1"/>
    <col min="6" max="6" width="13.5" customWidth="1"/>
    <col min="7" max="7" width="13.5" style="86" customWidth="1"/>
    <col min="8" max="8" width="57" bestFit="1" customWidth="1"/>
  </cols>
  <sheetData>
    <row r="1" spans="1:9" ht="15" thickBot="1" x14ac:dyDescent="0.25">
      <c r="A1" s="21"/>
      <c r="B1" s="21"/>
      <c r="C1" s="21"/>
      <c r="D1" s="21"/>
      <c r="E1" s="21"/>
      <c r="F1" s="21"/>
      <c r="G1" s="21"/>
      <c r="H1" s="21"/>
    </row>
    <row r="2" spans="1:9" ht="15" thickBot="1" x14ac:dyDescent="0.25">
      <c r="A2" s="21"/>
      <c r="B2" s="21"/>
      <c r="C2" s="21"/>
      <c r="D2" s="21"/>
      <c r="E2" s="21"/>
      <c r="F2" s="21"/>
      <c r="G2" s="21"/>
      <c r="H2" s="21"/>
    </row>
    <row r="3" spans="1:9" ht="15" thickBot="1" x14ac:dyDescent="0.25">
      <c r="A3" s="21"/>
      <c r="B3" s="21"/>
      <c r="C3" s="21"/>
      <c r="D3" s="21"/>
      <c r="E3" s="21"/>
      <c r="F3" s="21"/>
      <c r="G3" s="21"/>
      <c r="H3" s="21"/>
    </row>
    <row r="4" spans="1:9" ht="15" thickBot="1" x14ac:dyDescent="0.25">
      <c r="A4" s="21"/>
      <c r="B4" s="21"/>
      <c r="C4" s="21"/>
      <c r="D4" s="21"/>
      <c r="E4" s="21"/>
      <c r="F4" s="21"/>
      <c r="G4" s="21"/>
      <c r="H4" s="21"/>
    </row>
    <row r="5" spans="1:9" ht="16.5" thickBot="1" x14ac:dyDescent="0.3">
      <c r="A5" s="22" t="s">
        <v>63</v>
      </c>
      <c r="B5" s="22"/>
      <c r="C5" s="21"/>
      <c r="D5" s="21"/>
      <c r="E5" s="21"/>
      <c r="F5" s="21"/>
      <c r="G5" s="21"/>
      <c r="H5" s="21"/>
    </row>
    <row r="6" spans="1:9" ht="15" thickBot="1" x14ac:dyDescent="0.25">
      <c r="A6" s="21"/>
      <c r="B6" s="21"/>
      <c r="C6" s="21"/>
      <c r="D6" s="21"/>
      <c r="E6" s="21"/>
      <c r="F6" s="21"/>
      <c r="G6" s="21"/>
      <c r="H6" s="21"/>
    </row>
    <row r="7" spans="1:9" ht="45.75" thickBot="1" x14ac:dyDescent="0.25">
      <c r="A7" s="23" t="s">
        <v>16</v>
      </c>
      <c r="B7" s="25" t="s">
        <v>125</v>
      </c>
      <c r="C7" s="25" t="s">
        <v>95</v>
      </c>
      <c r="D7" s="25" t="s">
        <v>120</v>
      </c>
      <c r="E7" s="23" t="s">
        <v>17</v>
      </c>
      <c r="F7" s="24" t="s">
        <v>121</v>
      </c>
      <c r="G7" s="24" t="s">
        <v>122</v>
      </c>
      <c r="H7" s="23" t="s">
        <v>19</v>
      </c>
      <c r="I7" s="97" t="s">
        <v>124</v>
      </c>
    </row>
    <row r="8" spans="1:9" ht="15.75" customHeight="1" thickBot="1" x14ac:dyDescent="0.25">
      <c r="A8" s="26" t="s">
        <v>119</v>
      </c>
      <c r="B8" s="28">
        <v>0.45900000000000002</v>
      </c>
      <c r="C8" s="28">
        <v>0.44</v>
      </c>
      <c r="D8" s="96">
        <v>0.48</v>
      </c>
      <c r="E8" s="28">
        <v>0.06</v>
      </c>
      <c r="F8" s="29" t="s">
        <v>100</v>
      </c>
      <c r="G8" s="95" t="s">
        <v>139</v>
      </c>
      <c r="H8" s="30" t="s">
        <v>101</v>
      </c>
      <c r="I8" s="120"/>
    </row>
    <row r="9" spans="1:9" ht="15" thickBot="1" x14ac:dyDescent="0.25">
      <c r="A9" s="26" t="s">
        <v>21</v>
      </c>
      <c r="B9" s="28">
        <v>0.1241</v>
      </c>
      <c r="C9" s="28">
        <v>0.13</v>
      </c>
      <c r="D9" s="28">
        <v>0.13</v>
      </c>
      <c r="E9" s="28">
        <v>0.05</v>
      </c>
      <c r="F9" s="29" t="s">
        <v>81</v>
      </c>
      <c r="G9" s="29" t="s">
        <v>81</v>
      </c>
      <c r="H9" s="30" t="s">
        <v>22</v>
      </c>
      <c r="I9" s="120"/>
    </row>
    <row r="10" spans="1:9" ht="36.75" thickBot="1" x14ac:dyDescent="0.25">
      <c r="A10" s="26" t="s">
        <v>118</v>
      </c>
      <c r="B10" s="28">
        <v>0.37490000000000001</v>
      </c>
      <c r="C10" s="28">
        <v>0.35</v>
      </c>
      <c r="D10" s="28">
        <v>0.35</v>
      </c>
      <c r="E10" s="28">
        <v>0.06</v>
      </c>
      <c r="F10" s="29" t="s">
        <v>60</v>
      </c>
      <c r="G10" s="29" t="s">
        <v>60</v>
      </c>
      <c r="H10" s="70" t="s">
        <v>55</v>
      </c>
      <c r="I10" s="120"/>
    </row>
    <row r="11" spans="1:9" ht="15" thickBot="1" x14ac:dyDescent="0.25">
      <c r="A11" s="26" t="s">
        <v>114</v>
      </c>
      <c r="B11" s="28">
        <v>2.8899999999999999E-2</v>
      </c>
      <c r="C11" s="28">
        <v>0.06</v>
      </c>
      <c r="D11" s="96">
        <v>0.02</v>
      </c>
      <c r="E11" s="28"/>
      <c r="F11" s="29"/>
      <c r="G11" s="29"/>
      <c r="H11" s="32"/>
      <c r="I11" s="120"/>
    </row>
    <row r="12" spans="1:9" ht="15" thickBot="1" x14ac:dyDescent="0.25">
      <c r="A12" s="33" t="s">
        <v>105</v>
      </c>
      <c r="B12" s="98">
        <v>1.2999999999999999E-2</v>
      </c>
      <c r="C12" s="28">
        <v>0.02</v>
      </c>
      <c r="D12" s="28">
        <v>0.02</v>
      </c>
      <c r="E12" s="28">
        <v>0.05</v>
      </c>
      <c r="F12" s="29" t="s">
        <v>56</v>
      </c>
      <c r="G12" s="29" t="s">
        <v>56</v>
      </c>
      <c r="H12" s="32"/>
      <c r="I12" s="120"/>
    </row>
    <row r="13" spans="1:9" ht="15" thickBot="1" x14ac:dyDescent="0.25">
      <c r="A13" s="26" t="s">
        <v>26</v>
      </c>
      <c r="B13" s="28">
        <f>SUM(B8:B12)</f>
        <v>0.99990000000000012</v>
      </c>
      <c r="C13" s="122">
        <f>SUM(C8:C12)</f>
        <v>1</v>
      </c>
      <c r="D13" s="122">
        <f>SUM(D8:D12)</f>
        <v>1</v>
      </c>
      <c r="E13" s="28"/>
      <c r="F13" s="29"/>
      <c r="G13" s="29"/>
      <c r="H13" s="32"/>
      <c r="I13" s="120"/>
    </row>
    <row r="14" spans="1:9" ht="15" thickBot="1" x14ac:dyDescent="0.25">
      <c r="A14" s="34" t="s">
        <v>106</v>
      </c>
      <c r="B14" s="28">
        <v>0.2034</v>
      </c>
      <c r="C14" s="28">
        <v>0.17</v>
      </c>
      <c r="D14" s="28">
        <v>0.2</v>
      </c>
      <c r="E14" s="28">
        <v>0.06</v>
      </c>
      <c r="F14" s="29" t="s">
        <v>27</v>
      </c>
      <c r="G14" s="29" t="s">
        <v>123</v>
      </c>
      <c r="H14" s="32"/>
      <c r="I14" s="121"/>
    </row>
    <row r="15" spans="1:9" s="86" customFormat="1" ht="15" thickBot="1" x14ac:dyDescent="0.25">
      <c r="A15" s="36" t="s">
        <v>28</v>
      </c>
      <c r="B15" s="36"/>
      <c r="C15" s="37"/>
      <c r="D15" s="37"/>
      <c r="E15" s="35"/>
      <c r="F15" s="35"/>
      <c r="G15" s="35"/>
      <c r="H15" s="35"/>
    </row>
    <row r="16" spans="1:9" s="86" customFormat="1" ht="15" thickBot="1" x14ac:dyDescent="0.25">
      <c r="A16" s="36" t="s">
        <v>117</v>
      </c>
      <c r="B16" s="36"/>
      <c r="C16" s="37"/>
      <c r="D16" s="37"/>
      <c r="E16" s="35"/>
      <c r="F16" s="35"/>
      <c r="G16" s="35"/>
      <c r="H16" s="35"/>
    </row>
    <row r="17" spans="1:8" ht="15" thickBot="1" x14ac:dyDescent="0.25">
      <c r="A17" s="36" t="s">
        <v>115</v>
      </c>
      <c r="B17" s="36"/>
      <c r="C17" s="37"/>
      <c r="D17" s="37"/>
      <c r="E17" s="35"/>
      <c r="F17" s="35"/>
      <c r="G17" s="35"/>
      <c r="H17" s="35"/>
    </row>
    <row r="18" spans="1:8" ht="15" thickBot="1" x14ac:dyDescent="0.25">
      <c r="A18" s="36" t="s">
        <v>108</v>
      </c>
      <c r="B18" s="36"/>
      <c r="C18" s="37"/>
      <c r="D18" s="37"/>
      <c r="E18" s="35"/>
      <c r="F18" s="35"/>
      <c r="G18" s="35"/>
      <c r="H18" s="35"/>
    </row>
    <row r="19" spans="1:8" s="86" customFormat="1" ht="15" thickBot="1" x14ac:dyDescent="0.25">
      <c r="A19" s="36" t="s">
        <v>116</v>
      </c>
      <c r="B19" s="36"/>
      <c r="C19" s="37"/>
      <c r="D19" s="37"/>
      <c r="E19" s="35"/>
      <c r="F19" s="35"/>
      <c r="G19" s="35"/>
      <c r="H19" s="35"/>
    </row>
    <row r="20" spans="1:8" x14ac:dyDescent="0.2">
      <c r="A20" s="144" t="s">
        <v>107</v>
      </c>
      <c r="B20" s="145"/>
      <c r="C20" s="145"/>
      <c r="D20" s="145"/>
      <c r="E20" s="145"/>
      <c r="F20" s="145"/>
      <c r="G20" s="145"/>
      <c r="H20" s="146"/>
    </row>
    <row r="21" spans="1:8" s="86" customFormat="1" ht="15" thickBot="1" x14ac:dyDescent="0.25">
      <c r="A21" s="147"/>
      <c r="B21" s="148"/>
      <c r="C21" s="148"/>
      <c r="D21" s="148"/>
      <c r="E21" s="148"/>
      <c r="F21" s="148"/>
      <c r="G21" s="148"/>
      <c r="H21" s="149"/>
    </row>
    <row r="22" spans="1:8" ht="15" thickBot="1" x14ac:dyDescent="0.25">
      <c r="A22" s="36"/>
      <c r="B22" s="36"/>
      <c r="C22" s="21"/>
      <c r="D22" s="21"/>
      <c r="E22" s="21"/>
      <c r="F22" s="21"/>
      <c r="G22" s="21"/>
      <c r="H22" s="21"/>
    </row>
    <row r="23" spans="1:8" ht="15" thickBot="1" x14ac:dyDescent="0.25">
      <c r="A23" s="21"/>
      <c r="B23" s="21"/>
      <c r="C23" s="21"/>
      <c r="D23" s="21"/>
      <c r="E23" s="21"/>
      <c r="F23" s="21"/>
      <c r="G23" s="21"/>
      <c r="H23" s="21"/>
    </row>
    <row r="25" spans="1:8" ht="15.75" x14ac:dyDescent="0.25">
      <c r="A25" s="90"/>
    </row>
    <row r="34" spans="2:6" x14ac:dyDescent="0.2">
      <c r="B34" s="86"/>
      <c r="F34" s="86"/>
    </row>
  </sheetData>
  <sheetProtection algorithmName="SHA-512" hashValue="T2kPNvTCfqtZKlE6s32+DA9Z7wqSibuZBjfkd+kgqIo4J5fRJtH8/65PAhb+gejXli2H7RZ2ZzHzSwICavS3JQ==" saltValue="wOLYlPr1COzTb5cw3fRSfQ==" spinCount="100000" sheet="1" objects="1" scenarios="1"/>
  <mergeCells count="1">
    <mergeCell ref="A20:H2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rightToLeft="1" workbookViewId="0">
      <selection activeCell="B13" sqref="B13"/>
    </sheetView>
  </sheetViews>
  <sheetFormatPr defaultColWidth="9" defaultRowHeight="14.25" x14ac:dyDescent="0.2"/>
  <cols>
    <col min="1" max="2" width="26.875" customWidth="1"/>
    <col min="3" max="3" width="13.25" customWidth="1"/>
    <col min="4" max="4" width="14.875" style="86" customWidth="1"/>
    <col min="6" max="6" width="11.25" style="86" customWidth="1"/>
    <col min="7" max="7" width="13.625" style="86" customWidth="1"/>
    <col min="8" max="8" width="13.5" customWidth="1"/>
    <col min="9" max="9" width="57" bestFit="1" customWidth="1"/>
  </cols>
  <sheetData>
    <row r="1" spans="1:11" ht="15" thickBot="1" x14ac:dyDescent="0.25">
      <c r="A1" s="21"/>
      <c r="B1" s="21"/>
      <c r="C1" s="21"/>
      <c r="D1" s="21"/>
      <c r="E1" s="21"/>
      <c r="F1" s="21"/>
      <c r="G1" s="21"/>
      <c r="H1" s="21"/>
      <c r="I1" s="21"/>
    </row>
    <row r="2" spans="1:11" ht="15" thickBot="1" x14ac:dyDescent="0.25">
      <c r="A2" s="21"/>
      <c r="B2" s="21"/>
      <c r="C2" s="21"/>
      <c r="D2" s="21"/>
      <c r="E2" s="21"/>
      <c r="F2" s="21"/>
      <c r="G2" s="21"/>
      <c r="H2" s="21"/>
      <c r="I2" s="21"/>
    </row>
    <row r="3" spans="1:11" ht="15" thickBot="1" x14ac:dyDescent="0.25">
      <c r="A3" s="21"/>
      <c r="B3" s="21"/>
      <c r="C3" s="21"/>
      <c r="D3" s="21"/>
      <c r="E3" s="21"/>
      <c r="F3" s="21"/>
      <c r="G3" s="21"/>
      <c r="H3" s="21"/>
      <c r="I3" s="21"/>
    </row>
    <row r="4" spans="1:11" ht="15" thickBot="1" x14ac:dyDescent="0.25">
      <c r="A4" s="21"/>
      <c r="B4" s="21"/>
      <c r="C4" s="21"/>
      <c r="D4" s="21"/>
      <c r="E4" s="21"/>
      <c r="F4" s="21"/>
      <c r="G4" s="21"/>
      <c r="H4" s="21"/>
      <c r="I4" s="21"/>
    </row>
    <row r="5" spans="1:11" ht="16.5" thickBot="1" x14ac:dyDescent="0.3">
      <c r="A5" s="22" t="s">
        <v>64</v>
      </c>
      <c r="B5" s="22"/>
      <c r="C5" s="21"/>
      <c r="D5" s="21"/>
      <c r="E5" s="21"/>
      <c r="F5" s="21"/>
      <c r="G5" s="21"/>
      <c r="H5" s="21"/>
      <c r="I5" s="21"/>
    </row>
    <row r="6" spans="1:11" ht="15" thickBot="1" x14ac:dyDescent="0.25">
      <c r="A6" s="21"/>
      <c r="B6" s="21"/>
      <c r="C6" s="21"/>
      <c r="D6" s="21"/>
      <c r="E6" s="21"/>
      <c r="F6" s="21"/>
      <c r="G6" s="21"/>
      <c r="H6" s="21"/>
      <c r="I6" s="21"/>
    </row>
    <row r="7" spans="1:11" ht="60.75" thickBot="1" x14ac:dyDescent="0.25">
      <c r="A7" s="23" t="s">
        <v>16</v>
      </c>
      <c r="B7" s="25" t="s">
        <v>127</v>
      </c>
      <c r="C7" s="25" t="s">
        <v>95</v>
      </c>
      <c r="D7" s="25" t="s">
        <v>120</v>
      </c>
      <c r="E7" s="23" t="s">
        <v>17</v>
      </c>
      <c r="F7" s="24" t="s">
        <v>121</v>
      </c>
      <c r="G7" s="24" t="s">
        <v>122</v>
      </c>
      <c r="H7" s="24" t="s">
        <v>18</v>
      </c>
      <c r="I7" s="23" t="s">
        <v>19</v>
      </c>
      <c r="J7" s="97" t="s">
        <v>124</v>
      </c>
    </row>
    <row r="8" spans="1:11" ht="15.75" customHeight="1" thickBot="1" x14ac:dyDescent="0.25">
      <c r="A8" s="26" t="s">
        <v>131</v>
      </c>
      <c r="B8" s="28">
        <v>0.35299999999999998</v>
      </c>
      <c r="C8" s="28">
        <v>0.34</v>
      </c>
      <c r="D8" s="96">
        <v>0.35</v>
      </c>
      <c r="E8" s="28">
        <v>0.06</v>
      </c>
      <c r="F8" s="29" t="s">
        <v>68</v>
      </c>
      <c r="G8" s="96" t="s">
        <v>60</v>
      </c>
      <c r="H8" s="29"/>
      <c r="I8" s="30" t="s">
        <v>101</v>
      </c>
      <c r="J8" s="121">
        <v>0.01</v>
      </c>
    </row>
    <row r="9" spans="1:11" ht="15" thickBot="1" x14ac:dyDescent="0.25">
      <c r="A9" s="26" t="s">
        <v>21</v>
      </c>
      <c r="B9" s="28">
        <v>0.26019999999999999</v>
      </c>
      <c r="C9" s="28">
        <v>0.25</v>
      </c>
      <c r="D9" s="28">
        <v>0.25</v>
      </c>
      <c r="E9" s="28">
        <v>0.05</v>
      </c>
      <c r="F9" s="29" t="s">
        <v>94</v>
      </c>
      <c r="G9" s="29" t="s">
        <v>94</v>
      </c>
      <c r="H9" s="29"/>
      <c r="I9" s="30" t="s">
        <v>22</v>
      </c>
      <c r="J9" s="123"/>
    </row>
    <row r="10" spans="1:11" ht="36.75" thickBot="1" x14ac:dyDescent="0.25">
      <c r="A10" s="26" t="s">
        <v>118</v>
      </c>
      <c r="B10" s="28">
        <v>0.32500000000000001</v>
      </c>
      <c r="C10" s="28">
        <v>0.34</v>
      </c>
      <c r="D10" s="28">
        <v>0.34</v>
      </c>
      <c r="E10" s="28">
        <v>0.06</v>
      </c>
      <c r="F10" s="29" t="s">
        <v>68</v>
      </c>
      <c r="G10" s="29" t="s">
        <v>68</v>
      </c>
      <c r="H10" s="29"/>
      <c r="I10" s="70" t="s">
        <v>55</v>
      </c>
      <c r="J10" s="123"/>
    </row>
    <row r="11" spans="1:11" ht="15" thickBot="1" x14ac:dyDescent="0.25">
      <c r="A11" s="26" t="s">
        <v>114</v>
      </c>
      <c r="B11" s="28">
        <f>13.93%-9%</f>
        <v>4.930000000000001E-2</v>
      </c>
      <c r="C11" s="28">
        <v>0.05</v>
      </c>
      <c r="D11" s="96">
        <v>0.04</v>
      </c>
      <c r="E11" s="28"/>
      <c r="F11" s="29"/>
      <c r="G11" s="29"/>
      <c r="H11" s="29"/>
      <c r="I11" s="32"/>
      <c r="J11" s="121">
        <v>-0.01</v>
      </c>
    </row>
    <row r="12" spans="1:11" ht="15" thickBot="1" x14ac:dyDescent="0.25">
      <c r="A12" s="33" t="s">
        <v>105</v>
      </c>
      <c r="B12" s="98">
        <v>9.9000000000000008E-3</v>
      </c>
      <c r="C12" s="28">
        <v>0.02</v>
      </c>
      <c r="D12" s="28">
        <v>0.02</v>
      </c>
      <c r="E12" s="28">
        <v>0.05</v>
      </c>
      <c r="F12" s="29" t="s">
        <v>56</v>
      </c>
      <c r="G12" s="29" t="s">
        <v>56</v>
      </c>
      <c r="H12" s="29"/>
      <c r="I12" s="32"/>
      <c r="J12" s="123"/>
      <c r="K12" s="83"/>
    </row>
    <row r="13" spans="1:11" ht="15" thickBot="1" x14ac:dyDescent="0.25">
      <c r="A13" s="26" t="s">
        <v>26</v>
      </c>
      <c r="B13" s="28">
        <f>SUM(B8:B12)</f>
        <v>0.99739999999999995</v>
      </c>
      <c r="C13" s="82">
        <f>SUM(C8:C12)</f>
        <v>1.0000000000000002</v>
      </c>
      <c r="D13" s="82">
        <f>SUM(D8:D12)</f>
        <v>1</v>
      </c>
      <c r="E13" s="28"/>
      <c r="F13" s="29"/>
      <c r="G13" s="29"/>
      <c r="H13" s="29"/>
      <c r="I13" s="32"/>
      <c r="J13" s="123"/>
    </row>
    <row r="14" spans="1:11" ht="15" thickBot="1" x14ac:dyDescent="0.25">
      <c r="A14" s="34" t="s">
        <v>106</v>
      </c>
      <c r="B14" s="28">
        <v>0.1762</v>
      </c>
      <c r="C14" s="28">
        <v>0.17</v>
      </c>
      <c r="D14" s="96">
        <v>0.2</v>
      </c>
      <c r="E14" s="28">
        <v>0.06</v>
      </c>
      <c r="F14" s="29" t="s">
        <v>27</v>
      </c>
      <c r="G14" s="96" t="s">
        <v>123</v>
      </c>
      <c r="H14" s="29"/>
      <c r="I14" s="32"/>
      <c r="J14" s="121">
        <v>0.03</v>
      </c>
    </row>
    <row r="15" spans="1:11" s="86" customFormat="1" ht="15" thickBot="1" x14ac:dyDescent="0.25">
      <c r="A15" s="36" t="s">
        <v>28</v>
      </c>
      <c r="B15" s="36"/>
      <c r="C15" s="37"/>
      <c r="D15" s="37"/>
      <c r="E15" s="35"/>
      <c r="F15" s="35"/>
      <c r="G15" s="35"/>
      <c r="H15" s="35"/>
      <c r="I15" s="35"/>
    </row>
    <row r="16" spans="1:11" s="86" customFormat="1" ht="15" thickBot="1" x14ac:dyDescent="0.25">
      <c r="A16" s="36" t="s">
        <v>117</v>
      </c>
      <c r="B16" s="36"/>
      <c r="C16" s="37"/>
      <c r="D16" s="37"/>
      <c r="E16" s="35"/>
      <c r="F16" s="35"/>
      <c r="G16" s="35"/>
      <c r="H16" s="35"/>
      <c r="I16" s="35"/>
    </row>
    <row r="17" spans="1:9" ht="15" thickBot="1" x14ac:dyDescent="0.25">
      <c r="A17" s="36" t="s">
        <v>115</v>
      </c>
      <c r="B17" s="36"/>
      <c r="C17" s="37"/>
      <c r="D17" s="37"/>
      <c r="E17" s="35"/>
      <c r="F17" s="35"/>
      <c r="G17" s="35"/>
      <c r="H17" s="35"/>
      <c r="I17" s="35"/>
    </row>
    <row r="18" spans="1:9" ht="15" thickBot="1" x14ac:dyDescent="0.25">
      <c r="A18" s="36" t="s">
        <v>108</v>
      </c>
      <c r="B18" s="36"/>
      <c r="C18" s="37"/>
      <c r="D18" s="37"/>
      <c r="E18" s="35"/>
      <c r="F18" s="35"/>
      <c r="G18" s="35"/>
      <c r="H18" s="35"/>
      <c r="I18" s="35"/>
    </row>
    <row r="19" spans="1:9" s="86" customFormat="1" ht="15" thickBot="1" x14ac:dyDescent="0.25">
      <c r="A19" s="36" t="s">
        <v>116</v>
      </c>
      <c r="B19" s="36"/>
      <c r="C19" s="37"/>
      <c r="D19" s="37"/>
      <c r="E19" s="35"/>
      <c r="F19" s="35"/>
      <c r="G19" s="35"/>
      <c r="H19" s="35"/>
      <c r="I19" s="35"/>
    </row>
    <row r="20" spans="1:9" x14ac:dyDescent="0.2">
      <c r="A20" s="144" t="s">
        <v>107</v>
      </c>
      <c r="B20" s="145"/>
      <c r="C20" s="145"/>
      <c r="D20" s="145"/>
      <c r="E20" s="145"/>
      <c r="F20" s="145"/>
      <c r="G20" s="145"/>
      <c r="H20" s="145"/>
      <c r="I20" s="146"/>
    </row>
    <row r="21" spans="1:9" s="86" customFormat="1" ht="15" thickBot="1" x14ac:dyDescent="0.25">
      <c r="A21" s="147"/>
      <c r="B21" s="148"/>
      <c r="C21" s="148"/>
      <c r="D21" s="148"/>
      <c r="E21" s="148"/>
      <c r="F21" s="148"/>
      <c r="G21" s="148"/>
      <c r="H21" s="148"/>
      <c r="I21" s="149"/>
    </row>
    <row r="22" spans="1:9" ht="15" thickBot="1" x14ac:dyDescent="0.25">
      <c r="A22" s="36"/>
      <c r="B22" s="36"/>
      <c r="C22" s="21"/>
      <c r="D22" s="21"/>
      <c r="E22" s="21"/>
      <c r="F22" s="21"/>
      <c r="G22" s="21"/>
      <c r="H22" s="21"/>
      <c r="I22" s="21"/>
    </row>
    <row r="23" spans="1:9" ht="15" thickBot="1" x14ac:dyDescent="0.25">
      <c r="A23" s="21"/>
      <c r="B23" s="21"/>
      <c r="C23" s="21"/>
      <c r="D23" s="21"/>
      <c r="E23" s="21"/>
      <c r="F23" s="21"/>
      <c r="G23" s="21"/>
      <c r="H23" s="21"/>
      <c r="I23" s="21"/>
    </row>
    <row r="29" spans="1:9" x14ac:dyDescent="0.2">
      <c r="E29" s="86"/>
      <c r="H29" s="86"/>
      <c r="I29" s="86"/>
    </row>
    <row r="30" spans="1:9" x14ac:dyDescent="0.2">
      <c r="E30" s="86"/>
      <c r="H30" s="86"/>
      <c r="I30" s="86"/>
    </row>
    <row r="31" spans="1:9" x14ac:dyDescent="0.2">
      <c r="E31" s="86"/>
      <c r="H31" s="86"/>
      <c r="I31" s="86"/>
    </row>
    <row r="32" spans="1:9" x14ac:dyDescent="0.2">
      <c r="E32" s="86"/>
      <c r="H32" s="86"/>
      <c r="I32" s="86"/>
    </row>
    <row r="33" spans="5:9" x14ac:dyDescent="0.2">
      <c r="E33" s="86"/>
      <c r="H33" s="86"/>
      <c r="I33" s="86"/>
    </row>
  </sheetData>
  <mergeCells count="1">
    <mergeCell ref="A20:I21"/>
  </mergeCells>
  <pageMargins left="0.7" right="0.7" top="0.75" bottom="0.75" header="0.3" footer="0.3"/>
  <pageSetup paperSize="9" orientation="portrait"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rightToLeft="1" topLeftCell="A7" workbookViewId="0">
      <selection activeCell="H31" sqref="H31"/>
    </sheetView>
  </sheetViews>
  <sheetFormatPr defaultColWidth="9" defaultRowHeight="14.25" x14ac:dyDescent="0.2"/>
  <cols>
    <col min="1" max="2" width="26.875" customWidth="1"/>
    <col min="3" max="3" width="13.25" customWidth="1"/>
    <col min="4" max="4" width="13.25" style="86" customWidth="1"/>
    <col min="6" max="6" width="16.75" style="86" customWidth="1"/>
    <col min="7" max="7" width="26.75" customWidth="1"/>
    <col min="8" max="8" width="57" bestFit="1" customWidth="1"/>
  </cols>
  <sheetData>
    <row r="1" spans="1:9" s="100" customFormat="1" ht="15" thickBot="1" x14ac:dyDescent="0.25">
      <c r="A1" s="142"/>
      <c r="B1" s="142"/>
      <c r="C1" s="142"/>
      <c r="D1" s="142"/>
      <c r="E1" s="142"/>
      <c r="F1" s="142"/>
    </row>
    <row r="2" spans="1:9" s="100" customFormat="1" ht="15" thickBot="1" x14ac:dyDescent="0.25">
      <c r="A2" s="142"/>
      <c r="B2" s="142"/>
      <c r="C2" s="142"/>
      <c r="D2" s="142"/>
      <c r="E2" s="142"/>
      <c r="F2" s="142"/>
    </row>
    <row r="3" spans="1:9" s="100" customFormat="1" ht="15" thickBot="1" x14ac:dyDescent="0.25">
      <c r="A3" s="142"/>
      <c r="B3" s="142"/>
      <c r="C3" s="142"/>
      <c r="D3" s="142"/>
      <c r="E3" s="142"/>
      <c r="F3" s="142"/>
    </row>
    <row r="4" spans="1:9" s="100" customFormat="1" ht="15" thickBot="1" x14ac:dyDescent="0.25">
      <c r="A4" s="142"/>
      <c r="B4" s="142"/>
      <c r="C4" s="142"/>
      <c r="D4" s="142"/>
      <c r="E4" s="142"/>
      <c r="F4" s="142"/>
    </row>
    <row r="5" spans="1:9" s="100" customFormat="1" ht="16.5" thickBot="1" x14ac:dyDescent="0.3">
      <c r="A5" s="143" t="s">
        <v>65</v>
      </c>
      <c r="B5" s="143"/>
      <c r="C5" s="142"/>
      <c r="D5" s="142"/>
      <c r="E5" s="142"/>
      <c r="F5" s="142"/>
    </row>
    <row r="6" spans="1:9" s="100" customFormat="1" ht="15" thickBot="1" x14ac:dyDescent="0.25">
      <c r="A6" s="142"/>
      <c r="B6" s="142"/>
      <c r="C6" s="142"/>
      <c r="D6" s="142"/>
      <c r="E6" s="142"/>
      <c r="F6" s="142"/>
    </row>
    <row r="7" spans="1:9" ht="45.75" thickBot="1" x14ac:dyDescent="0.25">
      <c r="A7" s="23" t="s">
        <v>16</v>
      </c>
      <c r="B7" s="25" t="s">
        <v>127</v>
      </c>
      <c r="C7" s="25" t="s">
        <v>95</v>
      </c>
      <c r="D7" s="25" t="s">
        <v>120</v>
      </c>
      <c r="E7" s="23" t="s">
        <v>17</v>
      </c>
      <c r="F7" s="24" t="s">
        <v>121</v>
      </c>
      <c r="G7" s="24" t="s">
        <v>122</v>
      </c>
      <c r="H7" s="23" t="s">
        <v>19</v>
      </c>
      <c r="I7" s="97" t="s">
        <v>124</v>
      </c>
    </row>
    <row r="8" spans="1:9" ht="15.75" customHeight="1" thickBot="1" x14ac:dyDescent="0.25">
      <c r="A8" s="26" t="s">
        <v>119</v>
      </c>
      <c r="B8" s="28">
        <v>0.18440000000000001</v>
      </c>
      <c r="C8" s="28">
        <v>0.15</v>
      </c>
      <c r="D8" s="96">
        <v>0.17</v>
      </c>
      <c r="E8" s="28">
        <v>0.06</v>
      </c>
      <c r="F8" s="29" t="s">
        <v>98</v>
      </c>
      <c r="G8" s="95" t="s">
        <v>27</v>
      </c>
      <c r="H8" s="30" t="s">
        <v>101</v>
      </c>
      <c r="I8" s="121">
        <v>0.02</v>
      </c>
    </row>
    <row r="9" spans="1:9" ht="15" thickBot="1" x14ac:dyDescent="0.25">
      <c r="A9" s="26" t="s">
        <v>21</v>
      </c>
      <c r="B9" s="28">
        <v>0.34200000000000003</v>
      </c>
      <c r="C9" s="28">
        <v>0.33</v>
      </c>
      <c r="D9" s="28">
        <v>0.33</v>
      </c>
      <c r="E9" s="28">
        <v>0.05</v>
      </c>
      <c r="F9" s="29" t="s">
        <v>83</v>
      </c>
      <c r="G9" s="29" t="s">
        <v>83</v>
      </c>
      <c r="H9" s="30" t="s">
        <v>22</v>
      </c>
      <c r="I9" s="123"/>
    </row>
    <row r="10" spans="1:9" ht="24.75" thickBot="1" x14ac:dyDescent="0.25">
      <c r="A10" s="26" t="s">
        <v>118</v>
      </c>
      <c r="B10" s="28">
        <v>0.38040000000000002</v>
      </c>
      <c r="C10" s="28">
        <v>0.4</v>
      </c>
      <c r="D10" s="28">
        <v>0.4</v>
      </c>
      <c r="E10" s="28">
        <v>0.06</v>
      </c>
      <c r="F10" s="29" t="s">
        <v>99</v>
      </c>
      <c r="G10" s="29" t="s">
        <v>99</v>
      </c>
      <c r="H10" s="70" t="s">
        <v>24</v>
      </c>
      <c r="I10" s="123"/>
    </row>
    <row r="11" spans="1:9" ht="15" thickBot="1" x14ac:dyDescent="0.25">
      <c r="A11" s="26" t="s">
        <v>114</v>
      </c>
      <c r="B11" s="28">
        <v>8.3000000000000004E-2</v>
      </c>
      <c r="C11" s="28">
        <v>0.1</v>
      </c>
      <c r="D11" s="96">
        <v>0.08</v>
      </c>
      <c r="E11" s="28"/>
      <c r="F11" s="29"/>
      <c r="G11" s="29"/>
      <c r="H11" s="32"/>
      <c r="I11" s="121">
        <v>-0.02</v>
      </c>
    </row>
    <row r="12" spans="1:9" ht="15" thickBot="1" x14ac:dyDescent="0.25">
      <c r="A12" s="33" t="s">
        <v>105</v>
      </c>
      <c r="B12" s="28">
        <v>1.1599999999999999E-2</v>
      </c>
      <c r="C12" s="28">
        <v>0.02</v>
      </c>
      <c r="D12" s="28">
        <v>0.02</v>
      </c>
      <c r="E12" s="28">
        <v>0.05</v>
      </c>
      <c r="F12" s="29" t="s">
        <v>56</v>
      </c>
      <c r="G12" s="29" t="s">
        <v>56</v>
      </c>
      <c r="H12" s="32"/>
      <c r="I12" s="123"/>
    </row>
    <row r="13" spans="1:9" ht="15" thickBot="1" x14ac:dyDescent="0.25">
      <c r="A13" s="26" t="s">
        <v>26</v>
      </c>
      <c r="B13" s="28">
        <f>SUM(B8:B12)</f>
        <v>1.0014000000000001</v>
      </c>
      <c r="C13" s="124">
        <f>SUM(C8:C12)</f>
        <v>1</v>
      </c>
      <c r="D13" s="124">
        <f>SUM(D8:D12)</f>
        <v>1</v>
      </c>
      <c r="E13" s="28"/>
      <c r="F13" s="29"/>
      <c r="G13" s="29"/>
      <c r="H13" s="32"/>
      <c r="I13" s="123"/>
    </row>
    <row r="14" spans="1:9" ht="15" thickBot="1" x14ac:dyDescent="0.25">
      <c r="A14" s="34" t="s">
        <v>106</v>
      </c>
      <c r="B14" s="28">
        <v>0.1603</v>
      </c>
      <c r="C14" s="28">
        <v>0.13</v>
      </c>
      <c r="D14" s="96">
        <v>0.16</v>
      </c>
      <c r="E14" s="28">
        <v>0.06</v>
      </c>
      <c r="F14" s="125" t="s">
        <v>132</v>
      </c>
      <c r="G14" s="95" t="s">
        <v>129</v>
      </c>
      <c r="H14" s="32"/>
      <c r="I14" s="121">
        <v>0.03</v>
      </c>
    </row>
    <row r="15" spans="1:9" s="86" customFormat="1" ht="15" thickBot="1" x14ac:dyDescent="0.25">
      <c r="A15" s="36" t="s">
        <v>28</v>
      </c>
      <c r="B15" s="36"/>
      <c r="C15" s="37"/>
      <c r="D15" s="37"/>
      <c r="E15" s="35"/>
      <c r="F15" s="35"/>
      <c r="G15" s="35"/>
      <c r="H15" s="35"/>
    </row>
    <row r="16" spans="1:9" s="86" customFormat="1" ht="15" thickBot="1" x14ac:dyDescent="0.25">
      <c r="A16" s="36" t="s">
        <v>117</v>
      </c>
      <c r="B16" s="36"/>
      <c r="C16" s="37"/>
      <c r="D16" s="37"/>
      <c r="E16" s="35"/>
      <c r="F16" s="35"/>
      <c r="G16" s="35"/>
      <c r="H16" s="35"/>
    </row>
    <row r="17" spans="1:8" ht="15" thickBot="1" x14ac:dyDescent="0.25">
      <c r="A17" s="36" t="s">
        <v>115</v>
      </c>
      <c r="B17" s="36"/>
      <c r="C17" s="37"/>
      <c r="D17" s="37"/>
      <c r="E17" s="35"/>
      <c r="F17" s="35"/>
      <c r="G17" s="35"/>
      <c r="H17" s="35"/>
    </row>
    <row r="18" spans="1:8" ht="15" thickBot="1" x14ac:dyDescent="0.25">
      <c r="A18" s="36" t="s">
        <v>108</v>
      </c>
      <c r="B18" s="36"/>
      <c r="C18" s="37"/>
      <c r="D18" s="37"/>
      <c r="E18" s="35"/>
      <c r="F18" s="35"/>
      <c r="G18" s="35"/>
      <c r="H18" s="35"/>
    </row>
    <row r="19" spans="1:8" s="86" customFormat="1" ht="15" thickBot="1" x14ac:dyDescent="0.25">
      <c r="A19" s="36" t="s">
        <v>116</v>
      </c>
      <c r="B19" s="36"/>
      <c r="C19" s="37"/>
      <c r="D19" s="37"/>
      <c r="E19" s="35"/>
      <c r="F19" s="35"/>
      <c r="G19" s="35"/>
      <c r="H19" s="35"/>
    </row>
    <row r="20" spans="1:8" x14ac:dyDescent="0.2">
      <c r="A20" s="144" t="s">
        <v>107</v>
      </c>
      <c r="B20" s="145"/>
      <c r="C20" s="145"/>
      <c r="D20" s="145"/>
      <c r="E20" s="145"/>
      <c r="F20" s="145"/>
      <c r="G20" s="145"/>
      <c r="H20" s="146"/>
    </row>
    <row r="21" spans="1:8" s="86" customFormat="1" ht="15" thickBot="1" x14ac:dyDescent="0.25">
      <c r="A21" s="147"/>
      <c r="B21" s="148"/>
      <c r="C21" s="148"/>
      <c r="D21" s="148"/>
      <c r="E21" s="148"/>
      <c r="F21" s="148"/>
      <c r="G21" s="148"/>
      <c r="H21" s="149"/>
    </row>
    <row r="22" spans="1:8" ht="15" thickBot="1" x14ac:dyDescent="0.25">
      <c r="A22" s="36"/>
      <c r="B22" s="36"/>
      <c r="C22" s="21"/>
      <c r="D22" s="21"/>
      <c r="E22" s="21"/>
      <c r="F22" s="21"/>
      <c r="G22" s="21"/>
      <c r="H22" s="21"/>
    </row>
    <row r="23" spans="1:8" ht="15" thickBot="1" x14ac:dyDescent="0.25">
      <c r="A23" s="21"/>
      <c r="B23" s="21"/>
      <c r="C23" s="21"/>
      <c r="D23" s="21"/>
      <c r="E23" s="21"/>
      <c r="F23" s="21"/>
      <c r="G23" s="21"/>
      <c r="H23" s="21"/>
    </row>
    <row r="28" spans="1:8" x14ac:dyDescent="0.2">
      <c r="G28" s="86"/>
    </row>
  </sheetData>
  <mergeCells count="1">
    <mergeCell ref="A20:H2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rightToLeft="1" workbookViewId="0">
      <selection activeCell="K27" sqref="K27"/>
    </sheetView>
  </sheetViews>
  <sheetFormatPr defaultColWidth="9" defaultRowHeight="14.25" x14ac:dyDescent="0.2"/>
  <cols>
    <col min="1" max="1" width="26.875" customWidth="1"/>
    <col min="2" max="2" width="14" bestFit="1" customWidth="1"/>
    <col min="3" max="3" width="10.75" customWidth="1"/>
    <col min="4" max="4" width="10.75" style="86" customWidth="1"/>
    <col min="5" max="5" width="11.5" customWidth="1"/>
    <col min="6" max="6" width="13.25" customWidth="1"/>
    <col min="7" max="7" width="13.25" style="86" customWidth="1"/>
    <col min="8" max="8" width="57" bestFit="1" customWidth="1"/>
  </cols>
  <sheetData>
    <row r="1" spans="1:9" ht="15" thickBot="1" x14ac:dyDescent="0.25">
      <c r="A1" s="21"/>
      <c r="B1" s="21"/>
      <c r="C1" s="21"/>
      <c r="D1" s="21"/>
      <c r="E1" s="21"/>
      <c r="F1" s="21"/>
      <c r="G1" s="21"/>
      <c r="H1" s="21"/>
    </row>
    <row r="2" spans="1:9" ht="15" thickBot="1" x14ac:dyDescent="0.25">
      <c r="A2" s="21"/>
      <c r="B2" s="21"/>
      <c r="C2" s="21"/>
      <c r="D2" s="21"/>
      <c r="E2" s="21"/>
      <c r="F2" s="21"/>
      <c r="G2" s="21"/>
      <c r="H2" s="21"/>
    </row>
    <row r="3" spans="1:9" ht="15" thickBot="1" x14ac:dyDescent="0.25">
      <c r="A3" s="21"/>
      <c r="B3" s="21"/>
      <c r="C3" s="21"/>
      <c r="D3" s="21"/>
      <c r="E3" s="21"/>
      <c r="F3" s="21"/>
      <c r="G3" s="21"/>
      <c r="H3" s="21"/>
    </row>
    <row r="4" spans="1:9" ht="15" thickBot="1" x14ac:dyDescent="0.25">
      <c r="A4" s="21"/>
      <c r="B4" s="21"/>
      <c r="C4" s="21"/>
      <c r="D4" s="21"/>
      <c r="E4" s="21"/>
      <c r="F4" s="21"/>
      <c r="G4" s="21"/>
      <c r="H4" s="21"/>
    </row>
    <row r="5" spans="1:9" ht="16.5" thickBot="1" x14ac:dyDescent="0.3">
      <c r="A5" s="22" t="s">
        <v>15</v>
      </c>
      <c r="B5" s="22"/>
      <c r="C5" s="22"/>
      <c r="D5" s="22"/>
      <c r="E5" s="21"/>
      <c r="F5" s="21"/>
      <c r="G5" s="21"/>
      <c r="H5" s="21"/>
    </row>
    <row r="6" spans="1:9" ht="15" thickBot="1" x14ac:dyDescent="0.25">
      <c r="A6" s="21"/>
      <c r="B6" s="21"/>
      <c r="C6" s="21"/>
      <c r="D6" s="21"/>
      <c r="E6" s="21"/>
      <c r="F6" s="21"/>
      <c r="G6" s="21"/>
      <c r="H6" s="21"/>
    </row>
    <row r="7" spans="1:9" ht="45.75" thickBot="1" x14ac:dyDescent="0.25">
      <c r="A7" s="23" t="s">
        <v>16</v>
      </c>
      <c r="B7" s="25" t="s">
        <v>127</v>
      </c>
      <c r="C7" s="25" t="s">
        <v>95</v>
      </c>
      <c r="D7" s="25" t="s">
        <v>120</v>
      </c>
      <c r="E7" s="23" t="s">
        <v>17</v>
      </c>
      <c r="F7" s="24" t="s">
        <v>121</v>
      </c>
      <c r="G7" s="24" t="s">
        <v>122</v>
      </c>
      <c r="H7" s="23" t="s">
        <v>19</v>
      </c>
      <c r="I7" s="97" t="s">
        <v>124</v>
      </c>
    </row>
    <row r="8" spans="1:9" ht="15.75" customHeight="1" thickBot="1" x14ac:dyDescent="0.25">
      <c r="A8" s="26" t="s">
        <v>119</v>
      </c>
      <c r="B8" s="99">
        <v>0.38090000000000002</v>
      </c>
      <c r="C8" s="127">
        <v>0.35</v>
      </c>
      <c r="D8" s="128">
        <v>0.35</v>
      </c>
      <c r="E8" s="127">
        <v>0.06</v>
      </c>
      <c r="F8" s="129" t="s">
        <v>60</v>
      </c>
      <c r="G8" s="130" t="s">
        <v>60</v>
      </c>
      <c r="H8" s="30" t="s">
        <v>102</v>
      </c>
    </row>
    <row r="9" spans="1:9" ht="15" thickBot="1" x14ac:dyDescent="0.25">
      <c r="A9" s="26" t="s">
        <v>21</v>
      </c>
      <c r="B9" s="99">
        <v>0.15279999999999999</v>
      </c>
      <c r="C9" s="127">
        <v>0.15</v>
      </c>
      <c r="D9" s="128">
        <v>0.15</v>
      </c>
      <c r="E9" s="127">
        <v>0.05</v>
      </c>
      <c r="F9" s="129" t="s">
        <v>82</v>
      </c>
      <c r="G9" s="130" t="s">
        <v>82</v>
      </c>
      <c r="H9" s="30" t="s">
        <v>22</v>
      </c>
    </row>
    <row r="10" spans="1:9" ht="15" thickBot="1" x14ac:dyDescent="0.25">
      <c r="A10" s="26" t="s">
        <v>118</v>
      </c>
      <c r="B10" s="99">
        <v>0.30590000000000001</v>
      </c>
      <c r="C10" s="127">
        <v>0.32</v>
      </c>
      <c r="D10" s="128">
        <v>0.32</v>
      </c>
      <c r="E10" s="127">
        <v>0.06</v>
      </c>
      <c r="F10" s="129" t="s">
        <v>97</v>
      </c>
      <c r="G10" s="130" t="s">
        <v>97</v>
      </c>
      <c r="H10" s="31" t="s">
        <v>24</v>
      </c>
    </row>
    <row r="11" spans="1:9" ht="15" thickBot="1" x14ac:dyDescent="0.25">
      <c r="A11" s="26" t="s">
        <v>114</v>
      </c>
      <c r="B11" s="99">
        <f>15.14%-3.11%</f>
        <v>0.1203</v>
      </c>
      <c r="C11" s="127">
        <v>0.16</v>
      </c>
      <c r="D11" s="128">
        <v>0.16</v>
      </c>
      <c r="E11" s="127"/>
      <c r="F11" s="129"/>
      <c r="G11" s="130"/>
      <c r="H11" s="32"/>
    </row>
    <row r="12" spans="1:9" ht="15" thickBot="1" x14ac:dyDescent="0.25">
      <c r="A12" s="33" t="s">
        <v>105</v>
      </c>
      <c r="B12" s="99">
        <v>4.0099999999999997E-2</v>
      </c>
      <c r="C12" s="127">
        <v>0.02</v>
      </c>
      <c r="D12" s="128">
        <v>0.02</v>
      </c>
      <c r="E12" s="127">
        <v>0.05</v>
      </c>
      <c r="F12" s="129" t="s">
        <v>56</v>
      </c>
      <c r="G12" s="130" t="s">
        <v>56</v>
      </c>
      <c r="H12" s="32"/>
    </row>
    <row r="13" spans="1:9" ht="15" thickBot="1" x14ac:dyDescent="0.25">
      <c r="A13" s="26" t="s">
        <v>26</v>
      </c>
      <c r="B13" s="99">
        <f>B8+B9+B10+B11+B12</f>
        <v>1</v>
      </c>
      <c r="C13" s="27">
        <f>C8+C9+C10+C11+C12</f>
        <v>1</v>
      </c>
      <c r="D13" s="99">
        <v>1</v>
      </c>
      <c r="E13" s="127"/>
      <c r="F13" s="129"/>
      <c r="G13" s="130"/>
      <c r="H13" s="32"/>
    </row>
    <row r="14" spans="1:9" ht="15" thickBot="1" x14ac:dyDescent="0.25">
      <c r="A14" s="34" t="s">
        <v>106</v>
      </c>
      <c r="B14" s="99">
        <v>0.19539999999999999</v>
      </c>
      <c r="C14" s="127">
        <v>0.17</v>
      </c>
      <c r="D14" s="131">
        <v>0.2</v>
      </c>
      <c r="E14" s="127">
        <v>0.06</v>
      </c>
      <c r="F14" s="129" t="s">
        <v>27</v>
      </c>
      <c r="G14" s="132" t="s">
        <v>128</v>
      </c>
      <c r="H14" s="32"/>
      <c r="I14" s="126">
        <v>0.03</v>
      </c>
    </row>
    <row r="15" spans="1:9" s="86" customFormat="1" ht="15" thickBot="1" x14ac:dyDescent="0.25">
      <c r="A15" s="36" t="s">
        <v>28</v>
      </c>
      <c r="B15" s="36"/>
      <c r="C15" s="36"/>
      <c r="D15" s="36"/>
      <c r="E15" s="37"/>
      <c r="F15" s="37"/>
      <c r="G15" s="37"/>
      <c r="H15" s="35"/>
    </row>
    <row r="16" spans="1:9" s="86" customFormat="1" ht="15" thickBot="1" x14ac:dyDescent="0.25">
      <c r="A16" s="36" t="s">
        <v>117</v>
      </c>
      <c r="B16" s="36"/>
      <c r="C16" s="36"/>
      <c r="D16" s="36"/>
      <c r="E16" s="37"/>
      <c r="F16" s="37"/>
      <c r="G16" s="37"/>
      <c r="H16" s="35"/>
    </row>
    <row r="17" spans="1:8" ht="15" thickBot="1" x14ac:dyDescent="0.25">
      <c r="A17" s="36" t="s">
        <v>115</v>
      </c>
      <c r="B17" s="36"/>
      <c r="C17" s="36"/>
      <c r="D17" s="36"/>
      <c r="E17" s="37"/>
      <c r="F17" s="37"/>
      <c r="G17" s="37"/>
      <c r="H17" s="35"/>
    </row>
    <row r="18" spans="1:8" ht="15" thickBot="1" x14ac:dyDescent="0.25">
      <c r="A18" s="36" t="s">
        <v>108</v>
      </c>
      <c r="B18" s="36"/>
      <c r="C18" s="36"/>
      <c r="D18" s="36"/>
      <c r="E18" s="37"/>
      <c r="F18" s="37"/>
      <c r="G18" s="37"/>
      <c r="H18" s="35"/>
    </row>
    <row r="19" spans="1:8" s="86" customFormat="1" ht="15" thickBot="1" x14ac:dyDescent="0.25">
      <c r="A19" s="36" t="s">
        <v>116</v>
      </c>
      <c r="B19" s="36"/>
      <c r="C19" s="36"/>
      <c r="D19" s="36"/>
      <c r="E19" s="37"/>
      <c r="F19" s="37"/>
      <c r="G19" s="37"/>
      <c r="H19" s="35"/>
    </row>
    <row r="20" spans="1:8" x14ac:dyDescent="0.2">
      <c r="A20" s="144" t="s">
        <v>107</v>
      </c>
      <c r="B20" s="145"/>
      <c r="C20" s="145"/>
      <c r="D20" s="145"/>
      <c r="E20" s="145"/>
      <c r="F20" s="145"/>
      <c r="G20" s="145"/>
      <c r="H20" s="146"/>
    </row>
    <row r="21" spans="1:8" s="86" customFormat="1" ht="15" thickBot="1" x14ac:dyDescent="0.25">
      <c r="A21" s="147"/>
      <c r="B21" s="148"/>
      <c r="C21" s="148"/>
      <c r="D21" s="148"/>
      <c r="E21" s="148"/>
      <c r="F21" s="148"/>
      <c r="G21" s="148"/>
      <c r="H21" s="149"/>
    </row>
    <row r="22" spans="1:8" ht="15" thickBot="1" x14ac:dyDescent="0.25">
      <c r="A22" s="36"/>
      <c r="B22" s="36"/>
      <c r="C22" s="36"/>
      <c r="D22" s="36"/>
      <c r="E22" s="21"/>
      <c r="F22" s="21"/>
      <c r="G22" s="21"/>
      <c r="H22" s="21"/>
    </row>
    <row r="23" spans="1:8" ht="15" thickBot="1" x14ac:dyDescent="0.25">
      <c r="A23" s="21"/>
      <c r="B23" s="21"/>
      <c r="C23" s="21"/>
      <c r="D23" s="21"/>
      <c r="E23" s="21"/>
      <c r="F23" s="21"/>
      <c r="G23" s="21"/>
      <c r="H23" s="21"/>
    </row>
    <row r="30" spans="1:8" x14ac:dyDescent="0.2">
      <c r="F30" s="86"/>
    </row>
    <row r="33" spans="6:10" x14ac:dyDescent="0.2">
      <c r="F33" s="86"/>
      <c r="H33" s="86"/>
      <c r="I33" s="86"/>
      <c r="J33" s="86"/>
    </row>
    <row r="34" spans="6:10" x14ac:dyDescent="0.2">
      <c r="F34" s="86"/>
      <c r="H34" s="86"/>
      <c r="I34" s="86"/>
      <c r="J34" s="86"/>
    </row>
    <row r="35" spans="6:10" ht="15" thickBot="1" x14ac:dyDescent="0.25">
      <c r="F35" s="86"/>
      <c r="H35" s="86"/>
      <c r="I35" s="86"/>
      <c r="J35" s="86"/>
    </row>
    <row r="36" spans="6:10" x14ac:dyDescent="0.2">
      <c r="F36" s="86"/>
      <c r="H36" s="86"/>
      <c r="I36" s="86"/>
      <c r="J36" s="86"/>
    </row>
    <row r="37" spans="6:10" x14ac:dyDescent="0.2">
      <c r="F37" s="86"/>
      <c r="H37" s="86"/>
      <c r="I37" s="86"/>
      <c r="J37" s="86"/>
    </row>
    <row r="38" spans="6:10" x14ac:dyDescent="0.2">
      <c r="F38" s="86"/>
      <c r="H38" s="86"/>
      <c r="I38" s="86"/>
      <c r="J38" s="86"/>
    </row>
  </sheetData>
  <mergeCells count="1">
    <mergeCell ref="A20:H2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rightToLeft="1" workbookViewId="0">
      <selection activeCell="G32" sqref="G32"/>
    </sheetView>
  </sheetViews>
  <sheetFormatPr defaultColWidth="9" defaultRowHeight="14.25" x14ac:dyDescent="0.2"/>
  <cols>
    <col min="1" max="1" width="26.875" customWidth="1"/>
    <col min="2" max="2" width="12.375" bestFit="1" customWidth="1"/>
    <col min="3" max="3" width="13.25" customWidth="1"/>
    <col min="4" max="4" width="13.25" style="86" customWidth="1"/>
    <col min="6" max="6" width="13.5" customWidth="1"/>
    <col min="7" max="7" width="13.5" style="86" customWidth="1"/>
    <col min="8" max="8" width="57" bestFit="1" customWidth="1"/>
  </cols>
  <sheetData>
    <row r="1" spans="1:9" ht="15" thickBot="1" x14ac:dyDescent="0.25">
      <c r="A1" s="21"/>
      <c r="B1" s="21"/>
      <c r="C1" s="21"/>
      <c r="D1" s="21"/>
      <c r="E1" s="21"/>
      <c r="F1" s="21"/>
      <c r="G1" s="21"/>
      <c r="H1" s="21"/>
    </row>
    <row r="2" spans="1:9" ht="15" thickBot="1" x14ac:dyDescent="0.25">
      <c r="A2" s="21"/>
      <c r="B2" s="21"/>
      <c r="C2" s="21"/>
      <c r="D2" s="21"/>
      <c r="E2" s="21"/>
      <c r="F2" s="21"/>
      <c r="G2" s="21"/>
      <c r="H2" s="21"/>
    </row>
    <row r="3" spans="1:9" ht="15" thickBot="1" x14ac:dyDescent="0.25">
      <c r="A3" s="21"/>
      <c r="B3" s="21"/>
      <c r="C3" s="21"/>
      <c r="D3" s="21"/>
      <c r="E3" s="21"/>
      <c r="F3" s="21"/>
      <c r="G3" s="21"/>
      <c r="H3" s="21"/>
    </row>
    <row r="4" spans="1:9" ht="15" thickBot="1" x14ac:dyDescent="0.25">
      <c r="A4" s="21"/>
      <c r="B4" s="21"/>
      <c r="C4" s="21"/>
      <c r="D4" s="21"/>
      <c r="E4" s="21"/>
      <c r="F4" s="21"/>
      <c r="G4" s="21"/>
      <c r="H4" s="21"/>
    </row>
    <row r="5" spans="1:9" ht="16.5" thickBot="1" x14ac:dyDescent="0.3">
      <c r="A5" s="22" t="s">
        <v>66</v>
      </c>
      <c r="B5" s="21"/>
      <c r="C5" s="21"/>
      <c r="D5" s="21"/>
      <c r="E5" s="21"/>
      <c r="F5" s="21"/>
      <c r="G5" s="21"/>
      <c r="H5" s="21"/>
    </row>
    <row r="6" spans="1:9" ht="15" thickBot="1" x14ac:dyDescent="0.25">
      <c r="A6" s="21"/>
      <c r="B6" s="21"/>
      <c r="C6" s="21"/>
      <c r="D6" s="21"/>
      <c r="E6" s="21"/>
      <c r="F6" s="21"/>
      <c r="G6" s="21"/>
      <c r="H6" s="21"/>
    </row>
    <row r="7" spans="1:9" ht="45.75" thickBot="1" x14ac:dyDescent="0.25">
      <c r="A7" s="23" t="s">
        <v>16</v>
      </c>
      <c r="B7" s="25" t="s">
        <v>127</v>
      </c>
      <c r="C7" s="25" t="s">
        <v>95</v>
      </c>
      <c r="D7" s="25" t="s">
        <v>120</v>
      </c>
      <c r="E7" s="23" t="s">
        <v>17</v>
      </c>
      <c r="F7" s="24" t="s">
        <v>130</v>
      </c>
      <c r="G7" s="24" t="s">
        <v>122</v>
      </c>
      <c r="H7" s="23" t="s">
        <v>19</v>
      </c>
      <c r="I7" s="97" t="s">
        <v>124</v>
      </c>
    </row>
    <row r="8" spans="1:9" ht="15.75" customHeight="1" thickBot="1" x14ac:dyDescent="0.25">
      <c r="A8" s="26" t="s">
        <v>20</v>
      </c>
      <c r="B8" s="134">
        <v>0.36109999999999998</v>
      </c>
      <c r="C8" s="134">
        <v>0.34</v>
      </c>
      <c r="D8" s="135">
        <v>0.35</v>
      </c>
      <c r="E8" s="134">
        <v>0.06</v>
      </c>
      <c r="F8" s="136" t="s">
        <v>68</v>
      </c>
      <c r="G8" s="135" t="s">
        <v>60</v>
      </c>
      <c r="H8" s="30" t="s">
        <v>101</v>
      </c>
      <c r="I8" s="133">
        <v>0.01</v>
      </c>
    </row>
    <row r="9" spans="1:9" ht="15" thickBot="1" x14ac:dyDescent="0.25">
      <c r="A9" s="26" t="s">
        <v>21</v>
      </c>
      <c r="B9" s="134">
        <v>0.22459999999999999</v>
      </c>
      <c r="C9" s="134">
        <v>0.25</v>
      </c>
      <c r="D9" s="134">
        <v>0.25</v>
      </c>
      <c r="E9" s="134">
        <v>0.05</v>
      </c>
      <c r="F9" s="134" t="s">
        <v>94</v>
      </c>
      <c r="G9" s="134" t="s">
        <v>94</v>
      </c>
      <c r="H9" s="30" t="s">
        <v>22</v>
      </c>
      <c r="I9" s="133"/>
    </row>
    <row r="10" spans="1:9" ht="15" thickBot="1" x14ac:dyDescent="0.25">
      <c r="A10" s="26" t="s">
        <v>118</v>
      </c>
      <c r="B10" s="134">
        <v>0.37440000000000001</v>
      </c>
      <c r="C10" s="134">
        <v>0.34</v>
      </c>
      <c r="D10" s="134">
        <v>0.34</v>
      </c>
      <c r="E10" s="134">
        <v>0.06</v>
      </c>
      <c r="F10" s="134" t="s">
        <v>68</v>
      </c>
      <c r="G10" s="134" t="s">
        <v>68</v>
      </c>
      <c r="H10" s="31" t="s">
        <v>55</v>
      </c>
      <c r="I10" s="133"/>
    </row>
    <row r="11" spans="1:9" ht="15" thickBot="1" x14ac:dyDescent="0.25">
      <c r="A11" s="26" t="s">
        <v>114</v>
      </c>
      <c r="B11" s="134">
        <f>5.52%-1.93%</f>
        <v>3.5900000000000001E-2</v>
      </c>
      <c r="C11" s="134">
        <v>0.05</v>
      </c>
      <c r="D11" s="135">
        <v>0.04</v>
      </c>
      <c r="E11" s="134"/>
      <c r="F11" s="134"/>
      <c r="G11" s="134"/>
      <c r="H11" s="32"/>
      <c r="I11" s="133">
        <v>-0.01</v>
      </c>
    </row>
    <row r="12" spans="1:9" ht="15" thickBot="1" x14ac:dyDescent="0.25">
      <c r="A12" s="33" t="s">
        <v>105</v>
      </c>
      <c r="B12" s="134">
        <v>4.0000000000000001E-3</v>
      </c>
      <c r="C12" s="134">
        <v>0.02</v>
      </c>
      <c r="D12" s="134">
        <v>0.02</v>
      </c>
      <c r="E12" s="134">
        <v>0.05</v>
      </c>
      <c r="F12" s="134" t="s">
        <v>56</v>
      </c>
      <c r="G12" s="134" t="s">
        <v>56</v>
      </c>
      <c r="H12" s="32"/>
      <c r="I12" s="133"/>
    </row>
    <row r="13" spans="1:9" ht="15" thickBot="1" x14ac:dyDescent="0.25">
      <c r="A13" s="26" t="s">
        <v>26</v>
      </c>
      <c r="B13" s="134">
        <f>SUM(B8:B12)</f>
        <v>1</v>
      </c>
      <c r="C13" s="134">
        <f>SUM(C8:C12)</f>
        <v>1.0000000000000002</v>
      </c>
      <c r="D13" s="134">
        <v>1.0000000000000002</v>
      </c>
      <c r="E13" s="134"/>
      <c r="F13" s="134"/>
      <c r="G13" s="134"/>
      <c r="H13" s="32"/>
      <c r="I13" s="133"/>
    </row>
    <row r="14" spans="1:9" ht="15" thickBot="1" x14ac:dyDescent="0.25">
      <c r="A14" s="34" t="s">
        <v>106</v>
      </c>
      <c r="B14" s="134">
        <v>0.19470000000000001</v>
      </c>
      <c r="C14" s="134">
        <v>0.17</v>
      </c>
      <c r="D14" s="135">
        <v>0.2</v>
      </c>
      <c r="E14" s="134">
        <v>0.06</v>
      </c>
      <c r="F14" s="136" t="s">
        <v>27</v>
      </c>
      <c r="G14" s="135" t="s">
        <v>123</v>
      </c>
      <c r="H14" s="32"/>
      <c r="I14" s="133">
        <v>0.03</v>
      </c>
    </row>
    <row r="15" spans="1:9" s="86" customFormat="1" ht="15" thickBot="1" x14ac:dyDescent="0.25">
      <c r="A15" s="36" t="s">
        <v>28</v>
      </c>
      <c r="B15" s="37"/>
      <c r="C15" s="37"/>
      <c r="D15" s="37"/>
      <c r="E15" s="35"/>
      <c r="F15" s="35"/>
      <c r="G15" s="35"/>
      <c r="H15" s="35"/>
    </row>
    <row r="16" spans="1:9" s="86" customFormat="1" ht="15" thickBot="1" x14ac:dyDescent="0.25">
      <c r="A16" s="36" t="s">
        <v>117</v>
      </c>
      <c r="B16" s="36"/>
      <c r="C16" s="36"/>
      <c r="D16" s="36"/>
      <c r="E16" s="37"/>
      <c r="F16" s="37"/>
      <c r="G16" s="37"/>
      <c r="H16" s="35"/>
    </row>
    <row r="17" spans="1:9" ht="15" thickBot="1" x14ac:dyDescent="0.25">
      <c r="A17" s="36" t="s">
        <v>115</v>
      </c>
      <c r="B17" s="36"/>
      <c r="C17" s="36"/>
      <c r="D17" s="36"/>
      <c r="E17" s="37"/>
      <c r="F17" s="37"/>
      <c r="G17" s="37"/>
      <c r="H17" s="35"/>
    </row>
    <row r="18" spans="1:9" ht="15" thickBot="1" x14ac:dyDescent="0.25">
      <c r="A18" s="36" t="s">
        <v>108</v>
      </c>
      <c r="B18" s="36"/>
      <c r="C18" s="36"/>
      <c r="D18" s="36"/>
      <c r="E18" s="37"/>
      <c r="F18" s="37"/>
      <c r="G18" s="37"/>
      <c r="H18" s="35"/>
    </row>
    <row r="19" spans="1:9" s="86" customFormat="1" ht="15" thickBot="1" x14ac:dyDescent="0.25">
      <c r="A19" s="36" t="s">
        <v>116</v>
      </c>
      <c r="B19" s="36"/>
      <c r="C19" s="36"/>
      <c r="D19" s="36"/>
      <c r="E19" s="37"/>
      <c r="F19" s="37"/>
      <c r="G19" s="37"/>
      <c r="H19" s="35"/>
    </row>
    <row r="20" spans="1:9" x14ac:dyDescent="0.2">
      <c r="A20" s="144" t="s">
        <v>107</v>
      </c>
      <c r="B20" s="145"/>
      <c r="C20" s="145"/>
      <c r="D20" s="145"/>
      <c r="E20" s="145"/>
      <c r="F20" s="145"/>
      <c r="G20" s="145"/>
      <c r="H20" s="146"/>
    </row>
    <row r="21" spans="1:9" s="86" customFormat="1" ht="15" thickBot="1" x14ac:dyDescent="0.25">
      <c r="A21" s="147"/>
      <c r="B21" s="148"/>
      <c r="C21" s="148"/>
      <c r="D21" s="148"/>
      <c r="E21" s="148"/>
      <c r="F21" s="148"/>
      <c r="G21" s="148"/>
      <c r="H21" s="149"/>
    </row>
    <row r="22" spans="1:9" ht="15" thickBot="1" x14ac:dyDescent="0.25">
      <c r="A22" s="36"/>
      <c r="B22" s="21"/>
      <c r="C22" s="21"/>
      <c r="D22" s="21"/>
      <c r="E22" s="21"/>
      <c r="F22" s="21"/>
      <c r="G22" s="21"/>
      <c r="H22" s="21"/>
    </row>
    <row r="23" spans="1:9" ht="15" thickBot="1" x14ac:dyDescent="0.25">
      <c r="A23" s="21"/>
      <c r="B23" s="21"/>
      <c r="C23" s="21"/>
      <c r="D23" s="21"/>
      <c r="E23" s="21"/>
      <c r="F23" s="21"/>
      <c r="G23" s="21"/>
      <c r="H23" s="21"/>
    </row>
    <row r="28" spans="1:9" x14ac:dyDescent="0.2">
      <c r="E28" s="86"/>
      <c r="I28" s="86"/>
    </row>
    <row r="30" spans="1:9" x14ac:dyDescent="0.2">
      <c r="E30" s="86"/>
      <c r="H30" s="86"/>
      <c r="I30" s="86"/>
    </row>
    <row r="35" spans="3:6" x14ac:dyDescent="0.2">
      <c r="F35" s="86"/>
    </row>
    <row r="36" spans="3:6" ht="15" thickBot="1" x14ac:dyDescent="0.25">
      <c r="C36" s="89"/>
      <c r="D36" s="89"/>
    </row>
  </sheetData>
  <mergeCells count="1">
    <mergeCell ref="A20:H21"/>
  </mergeCells>
  <pageMargins left="0.7" right="0.7" top="0.75" bottom="0.75" header="0.3" footer="0.3"/>
  <pageSetup paperSize="9" orientation="portrait"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rightToLeft="1" workbookViewId="0">
      <selection activeCell="G8" sqref="B8:G14"/>
    </sheetView>
  </sheetViews>
  <sheetFormatPr defaultColWidth="9" defaultRowHeight="14.25" x14ac:dyDescent="0.2"/>
  <cols>
    <col min="1" max="1" width="26.875" customWidth="1"/>
    <col min="2" max="2" width="11.5" customWidth="1"/>
    <col min="3" max="3" width="13.25" customWidth="1"/>
    <col min="4" max="4" width="13.25" style="86" customWidth="1"/>
    <col min="6" max="6" width="13.5" customWidth="1"/>
    <col min="7" max="7" width="13.5" style="86" customWidth="1"/>
    <col min="8" max="8" width="57" bestFit="1" customWidth="1"/>
  </cols>
  <sheetData>
    <row r="1" spans="1:9" ht="15" thickBot="1" x14ac:dyDescent="0.25">
      <c r="A1" s="21"/>
      <c r="B1" s="21"/>
      <c r="C1" s="21"/>
      <c r="D1" s="21"/>
      <c r="E1" s="21"/>
      <c r="F1" s="21"/>
      <c r="G1" s="21"/>
      <c r="H1" s="21"/>
    </row>
    <row r="2" spans="1:9" ht="15" thickBot="1" x14ac:dyDescent="0.25">
      <c r="A2" s="21"/>
      <c r="B2" s="21"/>
      <c r="C2" s="21"/>
      <c r="D2" s="21"/>
      <c r="E2" s="21"/>
      <c r="F2" s="21"/>
      <c r="G2" s="21"/>
      <c r="H2" s="21"/>
    </row>
    <row r="3" spans="1:9" ht="15" thickBot="1" x14ac:dyDescent="0.25">
      <c r="A3" s="21"/>
      <c r="B3" s="21"/>
      <c r="C3" s="21"/>
      <c r="D3" s="21"/>
      <c r="E3" s="21"/>
      <c r="F3" s="21"/>
      <c r="G3" s="21"/>
      <c r="H3" s="21"/>
    </row>
    <row r="4" spans="1:9" ht="15" thickBot="1" x14ac:dyDescent="0.25">
      <c r="A4" s="21"/>
      <c r="B4" s="21"/>
      <c r="C4" s="21"/>
      <c r="D4" s="21"/>
      <c r="E4" s="21"/>
      <c r="F4" s="21"/>
      <c r="G4" s="21"/>
      <c r="H4" s="21"/>
    </row>
    <row r="5" spans="1:9" ht="16.5" thickBot="1" x14ac:dyDescent="0.3">
      <c r="A5" s="22" t="s">
        <v>67</v>
      </c>
      <c r="B5" s="21"/>
      <c r="C5" s="21"/>
      <c r="D5" s="21"/>
      <c r="E5" s="21"/>
      <c r="F5" s="21"/>
      <c r="G5" s="21"/>
      <c r="H5" s="21"/>
    </row>
    <row r="6" spans="1:9" ht="15" thickBot="1" x14ac:dyDescent="0.25">
      <c r="A6" s="21"/>
      <c r="B6" s="21"/>
      <c r="C6" s="21"/>
      <c r="D6" s="21"/>
      <c r="E6" s="21"/>
      <c r="F6" s="21"/>
      <c r="G6" s="21"/>
      <c r="H6" s="21"/>
    </row>
    <row r="7" spans="1:9" ht="45.75" thickBot="1" x14ac:dyDescent="0.25">
      <c r="A7" s="23" t="s">
        <v>16</v>
      </c>
      <c r="B7" s="25" t="s">
        <v>127</v>
      </c>
      <c r="C7" s="25" t="s">
        <v>95</v>
      </c>
      <c r="D7" s="25" t="s">
        <v>120</v>
      </c>
      <c r="E7" s="23" t="s">
        <v>17</v>
      </c>
      <c r="F7" s="24" t="s">
        <v>121</v>
      </c>
      <c r="G7" s="24" t="s">
        <v>122</v>
      </c>
      <c r="H7" s="23" t="s">
        <v>19</v>
      </c>
      <c r="I7" s="97" t="s">
        <v>124</v>
      </c>
    </row>
    <row r="8" spans="1:9" ht="15.75" customHeight="1" thickBot="1" x14ac:dyDescent="0.25">
      <c r="A8" s="26" t="s">
        <v>119</v>
      </c>
      <c r="B8" s="134">
        <v>8.6499999999999994E-2</v>
      </c>
      <c r="C8" s="134">
        <v>0.08</v>
      </c>
      <c r="D8" s="134">
        <v>0.08</v>
      </c>
      <c r="E8" s="134">
        <v>0.06</v>
      </c>
      <c r="F8" s="134" t="s">
        <v>57</v>
      </c>
      <c r="G8" s="134" t="s">
        <v>57</v>
      </c>
      <c r="H8" s="30" t="s">
        <v>102</v>
      </c>
    </row>
    <row r="9" spans="1:9" ht="15" thickBot="1" x14ac:dyDescent="0.25">
      <c r="A9" s="26" t="s">
        <v>21</v>
      </c>
      <c r="B9" s="134">
        <v>0.47899999999999998</v>
      </c>
      <c r="C9" s="134">
        <v>0.5</v>
      </c>
      <c r="D9" s="134">
        <v>0.5</v>
      </c>
      <c r="E9" s="134">
        <v>0.05</v>
      </c>
      <c r="F9" s="134" t="s">
        <v>58</v>
      </c>
      <c r="G9" s="134" t="s">
        <v>58</v>
      </c>
      <c r="H9" s="30" t="s">
        <v>59</v>
      </c>
    </row>
    <row r="10" spans="1:9" ht="15" thickBot="1" x14ac:dyDescent="0.25">
      <c r="A10" s="26" t="s">
        <v>118</v>
      </c>
      <c r="B10" s="134">
        <v>0.33650000000000002</v>
      </c>
      <c r="C10" s="134">
        <v>0.35</v>
      </c>
      <c r="D10" s="134">
        <v>0.35</v>
      </c>
      <c r="E10" s="134">
        <v>0.06</v>
      </c>
      <c r="F10" s="134" t="s">
        <v>60</v>
      </c>
      <c r="G10" s="134" t="s">
        <v>60</v>
      </c>
      <c r="H10" s="31" t="s">
        <v>61</v>
      </c>
    </row>
    <row r="11" spans="1:9" ht="15" thickBot="1" x14ac:dyDescent="0.25">
      <c r="A11" s="26" t="s">
        <v>109</v>
      </c>
      <c r="B11" s="134">
        <f>9.81%-0.01%</f>
        <v>9.8000000000000004E-2</v>
      </c>
      <c r="C11" s="134">
        <v>0.05</v>
      </c>
      <c r="D11" s="134">
        <v>0.05</v>
      </c>
      <c r="E11" s="134"/>
      <c r="F11" s="134"/>
      <c r="G11" s="134"/>
      <c r="H11" s="32"/>
    </row>
    <row r="12" spans="1:9" ht="15" thickBot="1" x14ac:dyDescent="0.25">
      <c r="A12" s="33" t="s">
        <v>110</v>
      </c>
      <c r="B12" s="134">
        <v>0</v>
      </c>
      <c r="C12" s="134">
        <v>0.02</v>
      </c>
      <c r="D12" s="134">
        <v>0.02</v>
      </c>
      <c r="E12" s="134">
        <v>0.05</v>
      </c>
      <c r="F12" s="134" t="s">
        <v>56</v>
      </c>
      <c r="G12" s="134" t="s">
        <v>56</v>
      </c>
      <c r="H12" s="32"/>
    </row>
    <row r="13" spans="1:9" ht="15" thickBot="1" x14ac:dyDescent="0.25">
      <c r="A13" s="26" t="s">
        <v>26</v>
      </c>
      <c r="B13" s="134">
        <f>SUM(B8:B12)</f>
        <v>1</v>
      </c>
      <c r="C13" s="134">
        <f>SUM(C8:C12)</f>
        <v>1</v>
      </c>
      <c r="D13" s="134">
        <f>SUM(D8:D12)</f>
        <v>1</v>
      </c>
      <c r="E13" s="134"/>
      <c r="F13" s="134"/>
      <c r="G13" s="134"/>
      <c r="H13" s="32"/>
    </row>
    <row r="14" spans="1:9" ht="15" thickBot="1" x14ac:dyDescent="0.25">
      <c r="A14" s="34" t="s">
        <v>111</v>
      </c>
      <c r="B14" s="134">
        <v>8.3900000000000002E-2</v>
      </c>
      <c r="C14" s="134">
        <v>0.08</v>
      </c>
      <c r="D14" s="134">
        <v>0.08</v>
      </c>
      <c r="E14" s="134">
        <v>0.06</v>
      </c>
      <c r="F14" s="134" t="s">
        <v>62</v>
      </c>
      <c r="G14" s="134" t="s">
        <v>62</v>
      </c>
      <c r="H14" s="32"/>
    </row>
    <row r="15" spans="1:9" s="86" customFormat="1" ht="15" thickBot="1" x14ac:dyDescent="0.25">
      <c r="A15" s="36" t="s">
        <v>28</v>
      </c>
      <c r="B15" s="37"/>
      <c r="C15" s="37"/>
      <c r="D15" s="37"/>
      <c r="E15" s="35"/>
      <c r="F15" s="35"/>
      <c r="G15" s="35"/>
      <c r="H15" s="35"/>
    </row>
    <row r="16" spans="1:9" ht="15" thickBot="1" x14ac:dyDescent="0.25">
      <c r="A16" s="36" t="s">
        <v>112</v>
      </c>
      <c r="B16" s="37"/>
      <c r="C16" s="37"/>
      <c r="D16" s="37"/>
      <c r="E16" s="35"/>
      <c r="F16" s="35"/>
      <c r="G16" s="35"/>
      <c r="H16" s="35"/>
    </row>
    <row r="17" spans="1:8" ht="15" thickBot="1" x14ac:dyDescent="0.25">
      <c r="A17" s="36" t="s">
        <v>108</v>
      </c>
      <c r="B17" s="37"/>
      <c r="C17" s="37"/>
      <c r="D17" s="37"/>
      <c r="E17" s="35"/>
      <c r="F17" s="35"/>
      <c r="G17" s="35"/>
      <c r="H17" s="35"/>
    </row>
    <row r="18" spans="1:8" s="86" customFormat="1" ht="15" thickBot="1" x14ac:dyDescent="0.25">
      <c r="A18" s="36" t="s">
        <v>113</v>
      </c>
      <c r="B18" s="37"/>
      <c r="C18" s="37"/>
      <c r="D18" s="37"/>
      <c r="E18" s="35"/>
      <c r="F18" s="35"/>
      <c r="G18" s="35"/>
      <c r="H18" s="35"/>
    </row>
    <row r="19" spans="1:8" x14ac:dyDescent="0.2">
      <c r="A19" s="144" t="s">
        <v>107</v>
      </c>
      <c r="B19" s="145"/>
      <c r="C19" s="145"/>
      <c r="D19" s="145"/>
      <c r="E19" s="145"/>
      <c r="F19" s="145"/>
      <c r="G19" s="145"/>
      <c r="H19" s="146"/>
    </row>
    <row r="20" spans="1:8" s="86" customFormat="1" ht="15" thickBot="1" x14ac:dyDescent="0.25">
      <c r="A20" s="147"/>
      <c r="B20" s="148"/>
      <c r="C20" s="148"/>
      <c r="D20" s="148"/>
      <c r="E20" s="148"/>
      <c r="F20" s="148"/>
      <c r="G20" s="148"/>
      <c r="H20" s="149"/>
    </row>
    <row r="21" spans="1:8" ht="15" thickBot="1" x14ac:dyDescent="0.25">
      <c r="A21" s="36"/>
      <c r="B21" s="21"/>
      <c r="C21" s="21"/>
      <c r="D21" s="21"/>
      <c r="E21" s="21"/>
      <c r="F21" s="21"/>
      <c r="G21" s="21"/>
      <c r="H21" s="21"/>
    </row>
    <row r="22" spans="1:8" ht="15" thickBot="1" x14ac:dyDescent="0.25">
      <c r="A22" s="21"/>
      <c r="B22" s="21"/>
      <c r="C22" s="21"/>
      <c r="D22" s="21"/>
      <c r="E22" s="21"/>
      <c r="F22" s="21"/>
      <c r="G22" s="21"/>
      <c r="H22" s="21"/>
    </row>
    <row r="24" spans="1:8" ht="16.5" customHeight="1" x14ac:dyDescent="0.2"/>
    <row r="26" spans="1:8" ht="15" thickBot="1" x14ac:dyDescent="0.25"/>
    <row r="27" spans="1:8" s="86" customFormat="1" ht="45.75" thickBot="1" x14ac:dyDescent="0.25">
      <c r="A27" s="23" t="s">
        <v>16</v>
      </c>
      <c r="B27" s="25" t="s">
        <v>126</v>
      </c>
      <c r="C27" s="25" t="s">
        <v>95</v>
      </c>
      <c r="D27" s="25" t="s">
        <v>120</v>
      </c>
      <c r="E27" s="23" t="s">
        <v>17</v>
      </c>
      <c r="F27" s="24" t="s">
        <v>121</v>
      </c>
      <c r="G27" s="24" t="s">
        <v>122</v>
      </c>
      <c r="H27" s="23" t="s">
        <v>19</v>
      </c>
    </row>
    <row r="34" spans="6:8" x14ac:dyDescent="0.2">
      <c r="F34" s="86"/>
    </row>
    <row r="35" spans="6:8" ht="15" thickBot="1" x14ac:dyDescent="0.25">
      <c r="H35" s="89"/>
    </row>
  </sheetData>
  <mergeCells count="1">
    <mergeCell ref="A19:H20"/>
  </mergeCells>
  <pageMargins left="0.7" right="0.7" top="0.75" bottom="0.75" header="0.3" footer="0.3"/>
  <pageSetup paperSize="9" orientation="portrait"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rightToLeft="1" workbookViewId="0">
      <selection activeCell="I8" sqref="I8:I14"/>
    </sheetView>
  </sheetViews>
  <sheetFormatPr defaultColWidth="9" defaultRowHeight="14.25" x14ac:dyDescent="0.2"/>
  <cols>
    <col min="1" max="1" width="44.5" bestFit="1" customWidth="1"/>
    <col min="2" max="2" width="11.375" bestFit="1" customWidth="1"/>
    <col min="3" max="3" width="8" bestFit="1" customWidth="1"/>
    <col min="4" max="4" width="8" style="86" customWidth="1"/>
    <col min="6" max="6" width="8.75" bestFit="1" customWidth="1"/>
    <col min="7" max="7" width="13" style="86" customWidth="1"/>
    <col min="8" max="8" width="57.25" bestFit="1" customWidth="1"/>
  </cols>
  <sheetData>
    <row r="1" spans="1:9" ht="15" thickBot="1" x14ac:dyDescent="0.25">
      <c r="A1" s="21"/>
      <c r="B1" s="21"/>
      <c r="C1" s="21"/>
      <c r="D1" s="21"/>
      <c r="E1" s="21"/>
      <c r="F1" s="21"/>
      <c r="G1" s="21"/>
      <c r="H1" s="21"/>
    </row>
    <row r="2" spans="1:9" ht="15" thickBot="1" x14ac:dyDescent="0.25">
      <c r="A2" s="21"/>
      <c r="B2" s="21"/>
      <c r="C2" s="21"/>
      <c r="D2" s="21"/>
      <c r="E2" s="21"/>
      <c r="F2" s="21"/>
      <c r="G2" s="21"/>
      <c r="H2" s="21"/>
    </row>
    <row r="3" spans="1:9" ht="15" thickBot="1" x14ac:dyDescent="0.25">
      <c r="A3" s="21"/>
      <c r="B3" s="21"/>
      <c r="C3" s="21"/>
      <c r="D3" s="21"/>
      <c r="E3" s="21"/>
      <c r="F3" s="21"/>
      <c r="G3" s="21"/>
      <c r="H3" s="21"/>
    </row>
    <row r="4" spans="1:9" ht="15" thickBot="1" x14ac:dyDescent="0.25">
      <c r="A4" s="21"/>
      <c r="B4" s="21"/>
      <c r="C4" s="21"/>
      <c r="D4" s="21"/>
      <c r="E4" s="21"/>
      <c r="F4" s="21"/>
      <c r="G4" s="21"/>
      <c r="H4" s="21"/>
    </row>
    <row r="5" spans="1:9" ht="15.75" thickBot="1" x14ac:dyDescent="0.3">
      <c r="A5" s="75" t="s">
        <v>73</v>
      </c>
      <c r="B5" s="21"/>
      <c r="C5" s="21"/>
      <c r="D5" s="21"/>
      <c r="E5" s="21"/>
      <c r="F5" s="21"/>
      <c r="G5" s="21"/>
      <c r="H5" s="21"/>
    </row>
    <row r="6" spans="1:9" ht="15" thickBot="1" x14ac:dyDescent="0.25">
      <c r="A6" s="21"/>
      <c r="B6" s="21"/>
      <c r="C6" s="21"/>
      <c r="D6" s="21"/>
      <c r="E6" s="21"/>
      <c r="F6" s="21"/>
      <c r="G6" s="21"/>
      <c r="H6" s="21"/>
    </row>
    <row r="7" spans="1:9" ht="75.75" thickBot="1" x14ac:dyDescent="0.25">
      <c r="A7" s="23" t="s">
        <v>16</v>
      </c>
      <c r="B7" s="25" t="s">
        <v>125</v>
      </c>
      <c r="C7" s="25" t="s">
        <v>95</v>
      </c>
      <c r="D7" s="25" t="s">
        <v>120</v>
      </c>
      <c r="E7" s="23" t="s">
        <v>17</v>
      </c>
      <c r="F7" s="24" t="s">
        <v>130</v>
      </c>
      <c r="G7" s="24" t="s">
        <v>122</v>
      </c>
      <c r="H7" s="23" t="s">
        <v>19</v>
      </c>
      <c r="I7" s="97" t="s">
        <v>124</v>
      </c>
    </row>
    <row r="8" spans="1:9" ht="15" thickBot="1" x14ac:dyDescent="0.25">
      <c r="A8" s="26" t="s">
        <v>133</v>
      </c>
      <c r="B8" s="134">
        <v>0.32950000000000002</v>
      </c>
      <c r="C8" s="134">
        <v>0.34</v>
      </c>
      <c r="D8" s="135">
        <v>0.35</v>
      </c>
      <c r="E8" s="134">
        <v>0.06</v>
      </c>
      <c r="F8" s="136" t="s">
        <v>68</v>
      </c>
      <c r="G8" s="135" t="s">
        <v>60</v>
      </c>
      <c r="H8" s="30" t="s">
        <v>102</v>
      </c>
      <c r="I8" s="137">
        <v>0.01</v>
      </c>
    </row>
    <row r="9" spans="1:9" ht="15" thickBot="1" x14ac:dyDescent="0.25">
      <c r="A9" s="26" t="s">
        <v>21</v>
      </c>
      <c r="B9" s="134">
        <v>0.23</v>
      </c>
      <c r="C9" s="134">
        <v>0.25</v>
      </c>
      <c r="D9" s="134">
        <v>0.25</v>
      </c>
      <c r="E9" s="134">
        <v>0.05</v>
      </c>
      <c r="F9" s="134" t="s">
        <v>94</v>
      </c>
      <c r="G9" s="134" t="s">
        <v>94</v>
      </c>
      <c r="H9" s="30" t="s">
        <v>22</v>
      </c>
      <c r="I9" s="137"/>
    </row>
    <row r="10" spans="1:9" ht="15" thickBot="1" x14ac:dyDescent="0.25">
      <c r="A10" s="26" t="s">
        <v>118</v>
      </c>
      <c r="B10" s="134">
        <v>0.30890000000000001</v>
      </c>
      <c r="C10" s="134">
        <v>0.34</v>
      </c>
      <c r="D10" s="134">
        <v>0.34</v>
      </c>
      <c r="E10" s="134">
        <v>0.06</v>
      </c>
      <c r="F10" s="134" t="s">
        <v>68</v>
      </c>
      <c r="G10" s="134" t="s">
        <v>68</v>
      </c>
      <c r="H10" s="31" t="s">
        <v>24</v>
      </c>
      <c r="I10" s="137"/>
    </row>
    <row r="11" spans="1:9" ht="15" thickBot="1" x14ac:dyDescent="0.25">
      <c r="A11" s="26" t="s">
        <v>114</v>
      </c>
      <c r="B11" s="134">
        <f>19.97%-6.81%</f>
        <v>0.13159999999999999</v>
      </c>
      <c r="C11" s="134">
        <v>0.05</v>
      </c>
      <c r="D11" s="135">
        <v>0.04</v>
      </c>
      <c r="E11" s="134"/>
      <c r="F11" s="134"/>
      <c r="G11" s="134"/>
      <c r="H11" s="32"/>
      <c r="I11" s="137">
        <v>-0.01</v>
      </c>
    </row>
    <row r="12" spans="1:9" ht="15" thickBot="1" x14ac:dyDescent="0.25">
      <c r="A12" s="33" t="s">
        <v>105</v>
      </c>
      <c r="B12" s="134">
        <v>0</v>
      </c>
      <c r="C12" s="134">
        <v>0.02</v>
      </c>
      <c r="D12" s="134">
        <v>0.02</v>
      </c>
      <c r="E12" s="134">
        <v>0.05</v>
      </c>
      <c r="F12" s="134" t="s">
        <v>56</v>
      </c>
      <c r="G12" s="134" t="s">
        <v>56</v>
      </c>
      <c r="H12" s="32"/>
      <c r="I12" s="137"/>
    </row>
    <row r="13" spans="1:9" ht="15" thickBot="1" x14ac:dyDescent="0.25">
      <c r="A13" s="26" t="s">
        <v>26</v>
      </c>
      <c r="B13" s="134">
        <f>SUM(B8:B12)</f>
        <v>1</v>
      </c>
      <c r="C13" s="134">
        <f>SUM(C8:C12)</f>
        <v>1.0000000000000002</v>
      </c>
      <c r="D13" s="134">
        <f>SUM(D8:D12)</f>
        <v>1</v>
      </c>
      <c r="E13" s="134"/>
      <c r="F13" s="134"/>
      <c r="G13" s="134"/>
      <c r="H13" s="32"/>
      <c r="I13" s="137"/>
    </row>
    <row r="14" spans="1:9" ht="15" thickBot="1" x14ac:dyDescent="0.25">
      <c r="A14" s="34" t="s">
        <v>106</v>
      </c>
      <c r="B14" s="134">
        <v>0.17399999999999999</v>
      </c>
      <c r="C14" s="134">
        <v>0.17</v>
      </c>
      <c r="D14" s="135">
        <v>0.2</v>
      </c>
      <c r="E14" s="134">
        <v>0.06</v>
      </c>
      <c r="F14" s="136" t="s">
        <v>27</v>
      </c>
      <c r="G14" s="135" t="s">
        <v>123</v>
      </c>
      <c r="H14" s="32"/>
      <c r="I14" s="137">
        <v>0.03</v>
      </c>
    </row>
    <row r="15" spans="1:9" s="86" customFormat="1" ht="15" thickBot="1" x14ac:dyDescent="0.25">
      <c r="A15" s="36" t="s">
        <v>28</v>
      </c>
      <c r="B15" s="37"/>
      <c r="C15" s="37"/>
      <c r="D15" s="37"/>
      <c r="E15" s="35"/>
      <c r="F15" s="35"/>
      <c r="G15" s="35"/>
      <c r="H15" s="35"/>
    </row>
    <row r="16" spans="1:9" s="86" customFormat="1" ht="15" thickBot="1" x14ac:dyDescent="0.25">
      <c r="A16" s="36" t="s">
        <v>117</v>
      </c>
      <c r="B16" s="37"/>
      <c r="C16" s="37"/>
      <c r="D16" s="37"/>
      <c r="E16" s="35"/>
      <c r="F16" s="35"/>
      <c r="G16" s="35"/>
      <c r="H16" s="35"/>
    </row>
    <row r="17" spans="1:8" ht="15" thickBot="1" x14ac:dyDescent="0.25">
      <c r="A17" s="36" t="s">
        <v>115</v>
      </c>
      <c r="B17" s="37"/>
      <c r="C17" s="37"/>
      <c r="D17" s="37"/>
      <c r="E17" s="35"/>
      <c r="F17" s="35"/>
      <c r="G17" s="35"/>
      <c r="H17" s="35"/>
    </row>
    <row r="18" spans="1:8" ht="15" thickBot="1" x14ac:dyDescent="0.25">
      <c r="A18" s="36" t="s">
        <v>108</v>
      </c>
      <c r="B18" s="37"/>
      <c r="C18" s="37"/>
      <c r="D18" s="37"/>
      <c r="E18" s="35"/>
      <c r="F18" s="35"/>
      <c r="G18" s="35"/>
      <c r="H18" s="35"/>
    </row>
    <row r="19" spans="1:8" s="86" customFormat="1" ht="15" thickBot="1" x14ac:dyDescent="0.25">
      <c r="A19" s="36" t="s">
        <v>116</v>
      </c>
      <c r="B19" s="37"/>
      <c r="C19" s="37"/>
      <c r="D19" s="37"/>
      <c r="E19" s="35"/>
      <c r="F19" s="35"/>
      <c r="G19" s="35"/>
      <c r="H19" s="35"/>
    </row>
    <row r="20" spans="1:8" x14ac:dyDescent="0.2">
      <c r="A20" s="144" t="s">
        <v>107</v>
      </c>
      <c r="B20" s="145"/>
      <c r="C20" s="145"/>
      <c r="D20" s="145"/>
      <c r="E20" s="145"/>
      <c r="F20" s="145"/>
      <c r="G20" s="145"/>
      <c r="H20" s="146"/>
    </row>
    <row r="21" spans="1:8" s="86" customFormat="1" ht="15" thickBot="1" x14ac:dyDescent="0.25">
      <c r="A21" s="147"/>
      <c r="B21" s="148"/>
      <c r="C21" s="148"/>
      <c r="D21" s="148"/>
      <c r="E21" s="148"/>
      <c r="F21" s="148"/>
      <c r="G21" s="148"/>
      <c r="H21" s="149"/>
    </row>
    <row r="22" spans="1:8" ht="15" thickBot="1" x14ac:dyDescent="0.25">
      <c r="A22" s="36"/>
      <c r="B22" s="21"/>
      <c r="C22" s="21"/>
      <c r="D22" s="21"/>
      <c r="E22" s="21"/>
      <c r="F22" s="21"/>
      <c r="G22" s="21"/>
      <c r="H22" s="21"/>
    </row>
    <row r="23" spans="1:8" ht="15" thickBot="1" x14ac:dyDescent="0.25">
      <c r="A23" s="21"/>
      <c r="B23" s="21"/>
      <c r="C23" s="21"/>
      <c r="D23" s="21"/>
      <c r="E23" s="21"/>
      <c r="F23" s="21"/>
      <c r="G23" s="21"/>
      <c r="H23" s="21"/>
    </row>
    <row r="31" spans="1:8" x14ac:dyDescent="0.2">
      <c r="A31" s="86"/>
      <c r="B31" s="86"/>
      <c r="C31" s="86"/>
    </row>
    <row r="32" spans="1:8" ht="15" thickBot="1" x14ac:dyDescent="0.25">
      <c r="A32" s="86"/>
      <c r="B32" s="86"/>
      <c r="C32" s="86"/>
      <c r="F32" s="86"/>
    </row>
  </sheetData>
  <mergeCells count="1">
    <mergeCell ref="A20:H21"/>
  </mergeCells>
  <pageMargins left="0.7" right="0.7"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rightToLeft="1" workbookViewId="0">
      <selection activeCell="L20" sqref="L20"/>
    </sheetView>
  </sheetViews>
  <sheetFormatPr defaultColWidth="9" defaultRowHeight="14.25" x14ac:dyDescent="0.2"/>
  <cols>
    <col min="1" max="1" width="44.5" bestFit="1" customWidth="1"/>
    <col min="2" max="2" width="10.375" bestFit="1" customWidth="1"/>
    <col min="3" max="3" width="8" bestFit="1" customWidth="1"/>
    <col min="4" max="4" width="8" style="86" customWidth="1"/>
    <col min="6" max="6" width="7.875" bestFit="1" customWidth="1"/>
    <col min="7" max="7" width="7.875" style="86" customWidth="1"/>
    <col min="8" max="8" width="57.25" bestFit="1" customWidth="1"/>
  </cols>
  <sheetData>
    <row r="1" spans="1:9" ht="15" thickBot="1" x14ac:dyDescent="0.25">
      <c r="A1" s="21"/>
      <c r="B1" s="21"/>
      <c r="C1" s="21"/>
      <c r="D1" s="21"/>
      <c r="E1" s="21"/>
      <c r="F1" s="21"/>
      <c r="G1" s="21"/>
      <c r="H1" s="21"/>
    </row>
    <row r="2" spans="1:9" ht="15" thickBot="1" x14ac:dyDescent="0.25">
      <c r="A2" s="21"/>
      <c r="B2" s="21"/>
      <c r="C2" s="21"/>
      <c r="D2" s="21"/>
      <c r="E2" s="21"/>
      <c r="F2" s="21"/>
      <c r="G2" s="21"/>
      <c r="H2" s="21"/>
    </row>
    <row r="3" spans="1:9" ht="15" thickBot="1" x14ac:dyDescent="0.25">
      <c r="A3" s="21"/>
      <c r="B3" s="21"/>
      <c r="C3" s="21"/>
      <c r="D3" s="21"/>
      <c r="E3" s="21"/>
      <c r="F3" s="21"/>
      <c r="G3" s="21"/>
      <c r="H3" s="21"/>
    </row>
    <row r="4" spans="1:9" ht="15" thickBot="1" x14ac:dyDescent="0.25">
      <c r="A4" s="21"/>
      <c r="B4" s="21"/>
      <c r="C4" s="21"/>
      <c r="D4" s="21"/>
      <c r="E4" s="21"/>
      <c r="F4" s="21"/>
      <c r="G4" s="21"/>
      <c r="H4" s="21"/>
    </row>
    <row r="5" spans="1:9" ht="15.75" thickBot="1" x14ac:dyDescent="0.3">
      <c r="A5" s="75" t="s">
        <v>74</v>
      </c>
      <c r="B5" s="21"/>
      <c r="C5" s="21"/>
      <c r="D5" s="21"/>
      <c r="E5" s="21"/>
      <c r="F5" s="21"/>
      <c r="G5" s="21"/>
      <c r="H5" s="21"/>
    </row>
    <row r="6" spans="1:9" ht="15" thickBot="1" x14ac:dyDescent="0.25">
      <c r="A6" s="21"/>
      <c r="B6" s="21"/>
      <c r="C6" s="21"/>
      <c r="D6" s="21"/>
      <c r="E6" s="21"/>
      <c r="F6" s="21"/>
      <c r="G6" s="21"/>
      <c r="H6" s="21"/>
    </row>
    <row r="7" spans="1:9" ht="75.75" thickBot="1" x14ac:dyDescent="0.25">
      <c r="A7" s="23" t="s">
        <v>16</v>
      </c>
      <c r="B7" s="25" t="s">
        <v>125</v>
      </c>
      <c r="C7" s="25" t="s">
        <v>95</v>
      </c>
      <c r="D7" s="25" t="s">
        <v>120</v>
      </c>
      <c r="E7" s="23" t="s">
        <v>17</v>
      </c>
      <c r="F7" s="24" t="s">
        <v>130</v>
      </c>
      <c r="G7" s="24" t="s">
        <v>122</v>
      </c>
      <c r="H7" s="23" t="s">
        <v>19</v>
      </c>
      <c r="I7" s="97" t="s">
        <v>124</v>
      </c>
    </row>
    <row r="8" spans="1:9" ht="24.75" thickBot="1" x14ac:dyDescent="0.25">
      <c r="A8" s="26" t="s">
        <v>119</v>
      </c>
      <c r="B8" s="27">
        <v>0.3352</v>
      </c>
      <c r="C8" s="28">
        <v>0.33</v>
      </c>
      <c r="D8" s="28">
        <v>0.33</v>
      </c>
      <c r="E8" s="28">
        <v>0.06</v>
      </c>
      <c r="F8" s="29" t="s">
        <v>69</v>
      </c>
      <c r="G8" s="29" t="s">
        <v>69</v>
      </c>
      <c r="H8" s="30" t="s">
        <v>103</v>
      </c>
    </row>
    <row r="9" spans="1:9" ht="15" thickBot="1" x14ac:dyDescent="0.25">
      <c r="A9" s="26" t="s">
        <v>21</v>
      </c>
      <c r="B9" s="27">
        <v>0.28060000000000002</v>
      </c>
      <c r="C9" s="28">
        <v>0.3</v>
      </c>
      <c r="D9" s="28">
        <v>0.3</v>
      </c>
      <c r="E9" s="28">
        <v>0.05</v>
      </c>
      <c r="F9" s="29" t="s">
        <v>70</v>
      </c>
      <c r="G9" s="29" t="s">
        <v>70</v>
      </c>
      <c r="H9" s="30" t="s">
        <v>71</v>
      </c>
    </row>
    <row r="10" spans="1:9" ht="15" thickBot="1" x14ac:dyDescent="0.25">
      <c r="A10" s="26" t="s">
        <v>134</v>
      </c>
      <c r="B10" s="27">
        <v>0.30420000000000003</v>
      </c>
      <c r="C10" s="28">
        <v>0.3</v>
      </c>
      <c r="D10" s="28">
        <v>0.3</v>
      </c>
      <c r="E10" s="28">
        <v>0.06</v>
      </c>
      <c r="F10" s="29" t="s">
        <v>23</v>
      </c>
      <c r="G10" s="29" t="s">
        <v>23</v>
      </c>
      <c r="H10" s="31" t="s">
        <v>72</v>
      </c>
    </row>
    <row r="11" spans="1:9" ht="15" thickBot="1" x14ac:dyDescent="0.25">
      <c r="A11" s="26" t="s">
        <v>109</v>
      </c>
      <c r="B11" s="27">
        <v>0.08</v>
      </c>
      <c r="C11" s="28">
        <v>7.0000000000000007E-2</v>
      </c>
      <c r="D11" s="28">
        <v>7.0000000000000007E-2</v>
      </c>
      <c r="E11" s="28"/>
      <c r="F11" s="29"/>
      <c r="G11" s="29"/>
      <c r="H11" s="32"/>
    </row>
    <row r="12" spans="1:9" ht="15" thickBot="1" x14ac:dyDescent="0.25">
      <c r="A12" s="33" t="s">
        <v>110</v>
      </c>
      <c r="B12" s="27">
        <v>0</v>
      </c>
      <c r="C12" s="28">
        <v>0</v>
      </c>
      <c r="D12" s="28">
        <v>0</v>
      </c>
      <c r="E12" s="28">
        <v>0.05</v>
      </c>
      <c r="F12" s="29" t="s">
        <v>25</v>
      </c>
      <c r="G12" s="29" t="s">
        <v>25</v>
      </c>
      <c r="H12" s="32"/>
    </row>
    <row r="13" spans="1:9" ht="15" thickBot="1" x14ac:dyDescent="0.25">
      <c r="A13" s="26" t="s">
        <v>26</v>
      </c>
      <c r="B13" s="27">
        <f>SUM(B8:B12)</f>
        <v>1</v>
      </c>
      <c r="C13" s="27">
        <v>1</v>
      </c>
      <c r="D13" s="27">
        <v>1</v>
      </c>
      <c r="E13" s="28"/>
      <c r="F13" s="29"/>
      <c r="G13" s="29"/>
      <c r="H13" s="32"/>
    </row>
    <row r="14" spans="1:9" ht="15" thickBot="1" x14ac:dyDescent="0.25">
      <c r="A14" s="34" t="s">
        <v>111</v>
      </c>
      <c r="B14" s="27">
        <v>0.16689999999999999</v>
      </c>
      <c r="C14" s="28">
        <v>0.15</v>
      </c>
      <c r="D14" s="28">
        <v>0.15</v>
      </c>
      <c r="E14" s="28">
        <v>0.06</v>
      </c>
      <c r="F14" s="28" t="s">
        <v>27</v>
      </c>
      <c r="G14" s="28" t="s">
        <v>27</v>
      </c>
      <c r="H14" s="32"/>
    </row>
    <row r="15" spans="1:9" s="86" customFormat="1" ht="15" thickBot="1" x14ac:dyDescent="0.25">
      <c r="A15" s="36" t="s">
        <v>28</v>
      </c>
      <c r="B15" s="37"/>
      <c r="C15" s="37"/>
      <c r="D15" s="37"/>
      <c r="E15" s="35"/>
      <c r="F15" s="35"/>
      <c r="G15" s="35"/>
      <c r="H15" s="35"/>
    </row>
    <row r="16" spans="1:9" ht="15" thickBot="1" x14ac:dyDescent="0.25">
      <c r="A16" s="36" t="s">
        <v>112</v>
      </c>
      <c r="B16" s="37"/>
      <c r="C16" s="37"/>
      <c r="D16" s="37"/>
      <c r="E16" s="35"/>
      <c r="F16" s="35"/>
      <c r="G16" s="35"/>
      <c r="H16" s="35"/>
    </row>
    <row r="17" spans="1:8" ht="15" thickBot="1" x14ac:dyDescent="0.25">
      <c r="A17" s="36" t="s">
        <v>108</v>
      </c>
      <c r="B17" s="37"/>
      <c r="C17" s="37"/>
      <c r="D17" s="37"/>
      <c r="E17" s="35"/>
      <c r="F17" s="35"/>
      <c r="G17" s="35"/>
      <c r="H17" s="35"/>
    </row>
    <row r="18" spans="1:8" s="86" customFormat="1" ht="15" thickBot="1" x14ac:dyDescent="0.25">
      <c r="A18" s="36" t="s">
        <v>113</v>
      </c>
      <c r="B18" s="37"/>
      <c r="C18" s="37"/>
      <c r="D18" s="37"/>
      <c r="E18" s="35"/>
      <c r="F18" s="35"/>
      <c r="G18" s="35"/>
      <c r="H18" s="35"/>
    </row>
    <row r="19" spans="1:8" x14ac:dyDescent="0.2">
      <c r="A19" s="144" t="s">
        <v>107</v>
      </c>
      <c r="B19" s="145"/>
      <c r="C19" s="145"/>
      <c r="D19" s="145"/>
      <c r="E19" s="145"/>
      <c r="F19" s="145"/>
      <c r="G19" s="145"/>
      <c r="H19" s="146"/>
    </row>
    <row r="20" spans="1:8" s="86" customFormat="1" ht="15" thickBot="1" x14ac:dyDescent="0.25">
      <c r="A20" s="147"/>
      <c r="B20" s="148"/>
      <c r="C20" s="148"/>
      <c r="D20" s="148"/>
      <c r="E20" s="148"/>
      <c r="F20" s="148"/>
      <c r="G20" s="148"/>
      <c r="H20" s="149"/>
    </row>
    <row r="21" spans="1:8" ht="15" thickBot="1" x14ac:dyDescent="0.25">
      <c r="A21" s="36"/>
      <c r="B21" s="21"/>
      <c r="C21" s="21"/>
      <c r="D21" s="21"/>
      <c r="E21" s="21"/>
      <c r="F21" s="21"/>
      <c r="G21" s="21"/>
      <c r="H21" s="21"/>
    </row>
    <row r="22" spans="1:8" ht="15" thickBot="1" x14ac:dyDescent="0.25">
      <c r="A22" s="21"/>
      <c r="B22" s="21"/>
      <c r="C22" s="21"/>
      <c r="D22" s="21"/>
      <c r="E22" s="21"/>
      <c r="F22" s="21"/>
      <c r="G22" s="21"/>
      <c r="H22" s="21"/>
    </row>
    <row r="34" spans="5:6" ht="15" thickBot="1" x14ac:dyDescent="0.25">
      <c r="E34" s="89"/>
      <c r="F34" s="86"/>
    </row>
  </sheetData>
  <mergeCells count="1">
    <mergeCell ref="A19:H20"/>
  </mergeCells>
  <pageMargins left="0.7" right="0.7" top="0.75" bottom="0.75"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7"/>
  <sheetViews>
    <sheetView rightToLeft="1" topLeftCell="A16" workbookViewId="0">
      <selection activeCell="C8" sqref="C8"/>
    </sheetView>
  </sheetViews>
  <sheetFormatPr defaultColWidth="9" defaultRowHeight="14.25" x14ac:dyDescent="0.2"/>
  <cols>
    <col min="1" max="1" width="35.25" customWidth="1"/>
    <col min="2" max="2" width="63.875" customWidth="1"/>
    <col min="3" max="3" width="40.625" customWidth="1"/>
    <col min="4" max="4" width="14" customWidth="1"/>
    <col min="5" max="6" width="14" style="100" customWidth="1"/>
    <col min="7" max="27" width="9" style="4" customWidth="1"/>
  </cols>
  <sheetData>
    <row r="1" spans="1:27" ht="15" thickBot="1" x14ac:dyDescent="0.25"/>
    <row r="2" spans="1:27" ht="16.5" customHeight="1" thickBot="1" x14ac:dyDescent="0.3">
      <c r="A2" s="1" t="s">
        <v>0</v>
      </c>
      <c r="B2" s="2" t="s">
        <v>136</v>
      </c>
      <c r="C2" s="2" t="s">
        <v>96</v>
      </c>
      <c r="D2" s="2"/>
      <c r="E2" s="101" t="s">
        <v>138</v>
      </c>
      <c r="F2" s="101" t="s">
        <v>124</v>
      </c>
    </row>
    <row r="3" spans="1:27" ht="15" customHeight="1" thickBot="1" x14ac:dyDescent="0.25">
      <c r="A3" s="51" t="s">
        <v>51</v>
      </c>
      <c r="B3" s="152" t="s">
        <v>14</v>
      </c>
      <c r="C3" s="59" t="s">
        <v>3</v>
      </c>
      <c r="D3" s="12">
        <v>0.8</v>
      </c>
      <c r="E3" s="102"/>
      <c r="F3" s="102"/>
    </row>
    <row r="4" spans="1:27" ht="15" thickBot="1" x14ac:dyDescent="0.25">
      <c r="A4" s="51" t="s">
        <v>31</v>
      </c>
      <c r="B4" s="162"/>
      <c r="C4" s="59" t="s">
        <v>2</v>
      </c>
      <c r="D4" s="18">
        <v>0.2</v>
      </c>
      <c r="E4" s="103"/>
      <c r="F4" s="103"/>
    </row>
    <row r="5" spans="1:27" x14ac:dyDescent="0.2">
      <c r="A5" s="51"/>
      <c r="B5" s="162"/>
      <c r="C5" s="6"/>
      <c r="D5" s="8"/>
      <c r="E5" s="104"/>
      <c r="F5" s="104"/>
    </row>
    <row r="6" spans="1:27" ht="36.75" customHeight="1" thickBot="1" x14ac:dyDescent="0.25">
      <c r="A6" s="52"/>
      <c r="B6" s="153"/>
      <c r="C6" s="7"/>
      <c r="D6" s="9"/>
      <c r="E6" s="105"/>
      <c r="F6" s="105"/>
    </row>
    <row r="7" spans="1:27" s="3" customFormat="1" ht="19.5" customHeight="1" thickBot="1" x14ac:dyDescent="0.25">
      <c r="A7" s="53" t="s">
        <v>1</v>
      </c>
      <c r="B7" s="152" t="s">
        <v>52</v>
      </c>
      <c r="C7" s="59" t="s">
        <v>4</v>
      </c>
      <c r="D7" s="10">
        <v>0.35</v>
      </c>
      <c r="E7" s="106"/>
      <c r="F7" s="106"/>
      <c r="G7" s="4"/>
      <c r="H7" s="4"/>
      <c r="I7" s="4"/>
      <c r="J7" s="4"/>
      <c r="K7" s="4"/>
      <c r="L7" s="4"/>
      <c r="M7" s="4"/>
      <c r="N7" s="4"/>
      <c r="O7" s="4"/>
      <c r="P7" s="4"/>
      <c r="Q7" s="4"/>
      <c r="R7" s="4"/>
      <c r="S7" s="4"/>
      <c r="T7" s="4"/>
      <c r="U7" s="4"/>
      <c r="V7" s="4"/>
      <c r="W7" s="4"/>
      <c r="X7" s="4"/>
      <c r="Y7" s="4"/>
      <c r="Z7" s="4"/>
      <c r="AA7" s="4"/>
    </row>
    <row r="8" spans="1:27" s="4" customFormat="1" ht="15" customHeight="1" thickBot="1" x14ac:dyDescent="0.25">
      <c r="A8" s="54" t="s">
        <v>43</v>
      </c>
      <c r="B8" s="162"/>
      <c r="C8" s="59" t="s">
        <v>2</v>
      </c>
      <c r="D8" s="18">
        <v>0.35</v>
      </c>
      <c r="E8" s="103"/>
      <c r="F8" s="103"/>
    </row>
    <row r="9" spans="1:27" s="4" customFormat="1" ht="15" customHeight="1" thickBot="1" x14ac:dyDescent="0.25">
      <c r="A9" s="54"/>
      <c r="B9" s="162"/>
      <c r="C9" s="59" t="s">
        <v>6</v>
      </c>
      <c r="D9" s="18">
        <v>0.23</v>
      </c>
      <c r="E9" s="103"/>
      <c r="F9" s="103"/>
    </row>
    <row r="10" spans="1:27" s="4" customFormat="1" ht="15" thickBot="1" x14ac:dyDescent="0.25">
      <c r="A10" s="54"/>
      <c r="B10" s="162"/>
      <c r="C10" s="59" t="s">
        <v>5</v>
      </c>
      <c r="D10" s="18">
        <v>7.0000000000000007E-2</v>
      </c>
      <c r="E10" s="103"/>
      <c r="F10" s="103"/>
    </row>
    <row r="11" spans="1:27" s="5" customFormat="1" ht="15" thickBot="1" x14ac:dyDescent="0.25">
      <c r="A11" s="55"/>
      <c r="B11" s="153"/>
      <c r="C11" s="7"/>
      <c r="D11" s="11"/>
      <c r="E11" s="107"/>
      <c r="F11" s="107"/>
      <c r="G11" s="4"/>
      <c r="H11" s="4"/>
      <c r="I11" s="4"/>
      <c r="J11" s="4"/>
      <c r="K11" s="4"/>
      <c r="L11" s="4"/>
      <c r="M11" s="4"/>
      <c r="N11" s="4"/>
      <c r="O11" s="4"/>
      <c r="P11" s="4"/>
      <c r="Q11" s="4"/>
      <c r="R11" s="4"/>
      <c r="S11" s="4"/>
      <c r="T11" s="4"/>
      <c r="U11" s="4"/>
      <c r="V11" s="4"/>
      <c r="W11" s="4"/>
      <c r="X11" s="4"/>
      <c r="Y11" s="4"/>
      <c r="Z11" s="4"/>
      <c r="AA11" s="4"/>
    </row>
    <row r="12" spans="1:27" ht="21.75" customHeight="1" thickBot="1" x14ac:dyDescent="0.25">
      <c r="A12" s="56" t="s">
        <v>13</v>
      </c>
      <c r="B12" s="152" t="s">
        <v>53</v>
      </c>
      <c r="C12" s="19" t="s">
        <v>104</v>
      </c>
      <c r="D12" s="12">
        <v>0.3</v>
      </c>
      <c r="E12" s="102"/>
      <c r="F12" s="102"/>
    </row>
    <row r="13" spans="1:27" ht="15" thickBot="1" x14ac:dyDescent="0.25">
      <c r="A13" s="51"/>
      <c r="B13" s="162"/>
      <c r="C13" s="60" t="s">
        <v>4</v>
      </c>
      <c r="D13" s="18">
        <v>0.15</v>
      </c>
      <c r="E13" s="103"/>
      <c r="F13" s="103"/>
    </row>
    <row r="14" spans="1:27" ht="15" customHeight="1" thickBot="1" x14ac:dyDescent="0.25">
      <c r="A14" s="51"/>
      <c r="B14" s="162"/>
      <c r="C14" s="16" t="s">
        <v>7</v>
      </c>
      <c r="D14" s="13">
        <v>0.2</v>
      </c>
      <c r="E14" s="108"/>
      <c r="F14" s="108"/>
    </row>
    <row r="15" spans="1:27" ht="15" customHeight="1" thickBot="1" x14ac:dyDescent="0.25">
      <c r="A15" s="51"/>
      <c r="B15" s="162"/>
      <c r="C15" s="60" t="s">
        <v>2</v>
      </c>
      <c r="D15" s="18">
        <v>0.1</v>
      </c>
      <c r="E15" s="103"/>
      <c r="F15" s="103"/>
    </row>
    <row r="16" spans="1:27" ht="15" thickBot="1" x14ac:dyDescent="0.25">
      <c r="A16" s="51"/>
      <c r="B16" s="162"/>
      <c r="C16" s="60" t="s">
        <v>8</v>
      </c>
      <c r="D16" s="18">
        <v>0.1</v>
      </c>
      <c r="E16" s="103"/>
      <c r="F16" s="103"/>
    </row>
    <row r="17" spans="1:6" ht="15" thickBot="1" x14ac:dyDescent="0.25">
      <c r="A17" s="52"/>
      <c r="B17" s="153"/>
      <c r="C17" s="17" t="s">
        <v>9</v>
      </c>
      <c r="D17" s="14">
        <v>0.15</v>
      </c>
      <c r="E17" s="109"/>
      <c r="F17" s="109"/>
    </row>
    <row r="18" spans="1:6" ht="15" customHeight="1" thickBot="1" x14ac:dyDescent="0.25">
      <c r="A18" s="72" t="s">
        <v>11</v>
      </c>
      <c r="B18" s="152" t="s">
        <v>29</v>
      </c>
      <c r="C18" s="19" t="s">
        <v>104</v>
      </c>
      <c r="D18" s="12">
        <v>0.05</v>
      </c>
      <c r="E18" s="102"/>
      <c r="F18" s="102"/>
    </row>
    <row r="19" spans="1:6" ht="15" customHeight="1" thickBot="1" x14ac:dyDescent="0.25">
      <c r="A19" s="71" t="s">
        <v>12</v>
      </c>
      <c r="B19" s="162"/>
      <c r="C19" s="61" t="s">
        <v>4</v>
      </c>
      <c r="D19" s="18">
        <v>0.05</v>
      </c>
      <c r="E19" s="103"/>
      <c r="F19" s="103"/>
    </row>
    <row r="20" spans="1:6" ht="15" customHeight="1" thickBot="1" x14ac:dyDescent="0.25">
      <c r="A20" s="73"/>
      <c r="B20" s="162"/>
      <c r="C20" s="61" t="s">
        <v>3</v>
      </c>
      <c r="D20" s="18">
        <v>0.72</v>
      </c>
      <c r="E20" s="103"/>
      <c r="F20" s="103"/>
    </row>
    <row r="21" spans="1:6" ht="15" customHeight="1" thickBot="1" x14ac:dyDescent="0.25">
      <c r="A21" s="73"/>
      <c r="B21" s="162"/>
      <c r="C21" s="61" t="s">
        <v>2</v>
      </c>
      <c r="D21" s="18">
        <v>0.18</v>
      </c>
      <c r="E21" s="103"/>
      <c r="F21" s="103"/>
    </row>
    <row r="22" spans="1:6" x14ac:dyDescent="0.2">
      <c r="A22" s="73"/>
      <c r="B22" s="162"/>
      <c r="C22" s="62"/>
      <c r="D22" s="20"/>
      <c r="E22" s="110"/>
      <c r="F22" s="110"/>
    </row>
    <row r="23" spans="1:6" ht="23.25" customHeight="1" thickBot="1" x14ac:dyDescent="0.25">
      <c r="A23" s="74"/>
      <c r="B23" s="153"/>
      <c r="C23" s="62"/>
      <c r="D23" s="20"/>
      <c r="E23" s="110"/>
      <c r="F23" s="110"/>
    </row>
    <row r="24" spans="1:6" ht="20.25" customHeight="1" thickBot="1" x14ac:dyDescent="0.25">
      <c r="A24" s="56" t="s">
        <v>10</v>
      </c>
      <c r="B24" s="152" t="s">
        <v>30</v>
      </c>
      <c r="C24" s="19" t="s">
        <v>104</v>
      </c>
      <c r="D24" s="12">
        <v>0.1</v>
      </c>
      <c r="E24" s="102"/>
      <c r="F24" s="102"/>
    </row>
    <row r="25" spans="1:6" ht="15" thickBot="1" x14ac:dyDescent="0.25">
      <c r="A25" s="51"/>
      <c r="B25" s="162"/>
      <c r="C25" s="61" t="s">
        <v>4</v>
      </c>
      <c r="D25" s="18">
        <v>0.1</v>
      </c>
      <c r="E25" s="103"/>
      <c r="F25" s="103"/>
    </row>
    <row r="26" spans="1:6" ht="15" thickBot="1" x14ac:dyDescent="0.25">
      <c r="A26" s="51"/>
      <c r="B26" s="162"/>
      <c r="C26" s="64" t="s">
        <v>3</v>
      </c>
      <c r="D26" s="13">
        <v>0.64</v>
      </c>
      <c r="E26" s="108"/>
      <c r="F26" s="108"/>
    </row>
    <row r="27" spans="1:6" ht="54.75" customHeight="1" thickBot="1" x14ac:dyDescent="0.25">
      <c r="A27" s="52"/>
      <c r="B27" s="153"/>
      <c r="C27" s="38" t="s">
        <v>2</v>
      </c>
      <c r="D27" s="39">
        <v>0.16</v>
      </c>
      <c r="E27" s="111"/>
      <c r="F27" s="111"/>
    </row>
    <row r="28" spans="1:6" ht="15" thickBot="1" x14ac:dyDescent="0.25">
      <c r="A28" s="40" t="s">
        <v>32</v>
      </c>
      <c r="B28" s="152" t="s">
        <v>33</v>
      </c>
      <c r="C28" s="19" t="s">
        <v>104</v>
      </c>
      <c r="D28" s="44">
        <v>0.7</v>
      </c>
      <c r="E28" s="112">
        <v>0.65</v>
      </c>
      <c r="F28" s="112">
        <v>-0.05</v>
      </c>
    </row>
    <row r="29" spans="1:6" ht="59.25" customHeight="1" thickBot="1" x14ac:dyDescent="0.25">
      <c r="A29" s="57" t="s">
        <v>34</v>
      </c>
      <c r="B29" s="153"/>
      <c r="C29" s="58" t="s">
        <v>35</v>
      </c>
      <c r="D29" s="39">
        <v>0.3</v>
      </c>
      <c r="E29" s="111">
        <v>0.35</v>
      </c>
      <c r="F29" s="111">
        <v>0.05</v>
      </c>
    </row>
    <row r="30" spans="1:6" ht="15" thickBot="1" x14ac:dyDescent="0.25">
      <c r="A30" s="41" t="s">
        <v>36</v>
      </c>
      <c r="B30" s="160" t="s">
        <v>37</v>
      </c>
      <c r="C30" s="66" t="s">
        <v>38</v>
      </c>
      <c r="D30" s="10">
        <v>0.15</v>
      </c>
      <c r="E30" s="106"/>
      <c r="F30" s="106"/>
    </row>
    <row r="31" spans="1:6" ht="15" thickBot="1" x14ac:dyDescent="0.25">
      <c r="A31" s="164" t="s">
        <v>39</v>
      </c>
      <c r="B31" s="161"/>
      <c r="C31" s="61" t="s">
        <v>40</v>
      </c>
      <c r="D31" s="18">
        <v>0.6</v>
      </c>
      <c r="E31" s="103"/>
      <c r="F31" s="103"/>
    </row>
    <row r="32" spans="1:6" x14ac:dyDescent="0.2">
      <c r="A32" s="164"/>
      <c r="B32" s="161"/>
      <c r="C32" s="63" t="s">
        <v>41</v>
      </c>
      <c r="D32" s="42">
        <v>0.25</v>
      </c>
      <c r="E32" s="113"/>
      <c r="F32" s="113"/>
    </row>
    <row r="33" spans="1:6" ht="28.5" customHeight="1" x14ac:dyDescent="0.2">
      <c r="A33" s="164"/>
      <c r="B33" s="161"/>
      <c r="C33" s="63"/>
      <c r="D33" s="42"/>
      <c r="E33" s="113"/>
      <c r="F33" s="113"/>
    </row>
    <row r="34" spans="1:6" ht="32.25" customHeight="1" thickBot="1" x14ac:dyDescent="0.25">
      <c r="A34" s="164"/>
      <c r="B34" s="161"/>
      <c r="C34" s="63"/>
      <c r="D34" s="42"/>
      <c r="E34" s="113"/>
      <c r="F34" s="113"/>
    </row>
    <row r="35" spans="1:6" ht="60.75" thickBot="1" x14ac:dyDescent="0.25">
      <c r="A35" s="67" t="s">
        <v>42</v>
      </c>
      <c r="B35" s="81" t="s">
        <v>54</v>
      </c>
      <c r="C35" s="68" t="s">
        <v>35</v>
      </c>
      <c r="D35" s="69">
        <v>1</v>
      </c>
      <c r="E35" s="114"/>
      <c r="F35" s="114"/>
    </row>
    <row r="36" spans="1:6" x14ac:dyDescent="0.2">
      <c r="A36" s="45" t="s">
        <v>44</v>
      </c>
      <c r="B36" s="160" t="s">
        <v>45</v>
      </c>
      <c r="C36" s="150" t="s">
        <v>46</v>
      </c>
      <c r="D36" s="158">
        <v>1</v>
      </c>
      <c r="E36" s="166"/>
      <c r="F36" s="166"/>
    </row>
    <row r="37" spans="1:6" ht="64.5" customHeight="1" thickBot="1" x14ac:dyDescent="0.25">
      <c r="A37" s="46" t="s">
        <v>47</v>
      </c>
      <c r="B37" s="163"/>
      <c r="C37" s="151"/>
      <c r="D37" s="159"/>
      <c r="E37" s="167"/>
      <c r="F37" s="167"/>
    </row>
    <row r="38" spans="1:6" x14ac:dyDescent="0.2">
      <c r="A38" s="47" t="s">
        <v>48</v>
      </c>
      <c r="B38" s="152" t="s">
        <v>80</v>
      </c>
      <c r="C38" s="48" t="s">
        <v>49</v>
      </c>
      <c r="D38" s="12">
        <v>0.5</v>
      </c>
      <c r="E38" s="102"/>
      <c r="F38" s="102"/>
    </row>
    <row r="39" spans="1:6" ht="15" thickBot="1" x14ac:dyDescent="0.25">
      <c r="A39" s="49"/>
      <c r="B39" s="153"/>
      <c r="C39" s="43" t="s">
        <v>50</v>
      </c>
      <c r="D39" s="50">
        <v>0.5</v>
      </c>
      <c r="E39" s="115"/>
      <c r="F39" s="115"/>
    </row>
    <row r="40" spans="1:6" ht="15" thickBot="1" x14ac:dyDescent="0.25">
      <c r="A40" s="51" t="s">
        <v>75</v>
      </c>
      <c r="B40" s="162" t="s">
        <v>14</v>
      </c>
      <c r="C40" s="76" t="s">
        <v>3</v>
      </c>
      <c r="D40" s="13">
        <v>0.8</v>
      </c>
      <c r="E40" s="168"/>
      <c r="F40" s="168"/>
    </row>
    <row r="41" spans="1:6" ht="15" thickBot="1" x14ac:dyDescent="0.25">
      <c r="A41" s="51"/>
      <c r="B41" s="162"/>
      <c r="C41" s="59" t="s">
        <v>2</v>
      </c>
      <c r="D41" s="18">
        <v>0.2</v>
      </c>
      <c r="E41" s="169"/>
      <c r="F41" s="169"/>
    </row>
    <row r="42" spans="1:6" ht="30" customHeight="1" x14ac:dyDescent="0.2">
      <c r="A42" s="51"/>
      <c r="B42" s="162"/>
      <c r="C42" s="6"/>
      <c r="D42" s="8"/>
      <c r="E42" s="169"/>
      <c r="F42" s="169"/>
    </row>
    <row r="43" spans="1:6" ht="27" customHeight="1" thickBot="1" x14ac:dyDescent="0.25">
      <c r="A43" s="52"/>
      <c r="B43" s="153"/>
      <c r="C43" s="7"/>
      <c r="D43" s="9"/>
      <c r="E43" s="170"/>
      <c r="F43" s="170"/>
    </row>
    <row r="44" spans="1:6" ht="15" thickBot="1" x14ac:dyDescent="0.25">
      <c r="A44" s="54" t="s">
        <v>79</v>
      </c>
      <c r="B44" s="152" t="s">
        <v>52</v>
      </c>
      <c r="C44" s="59" t="s">
        <v>4</v>
      </c>
      <c r="D44" s="10">
        <v>0.3</v>
      </c>
      <c r="E44" s="116"/>
      <c r="F44" s="171"/>
    </row>
    <row r="45" spans="1:6" ht="15" thickBot="1" x14ac:dyDescent="0.25">
      <c r="A45" s="54"/>
      <c r="B45" s="162"/>
      <c r="C45" s="59" t="s">
        <v>2</v>
      </c>
      <c r="D45" s="77">
        <v>0.35</v>
      </c>
      <c r="E45" s="117"/>
      <c r="F45" s="172"/>
    </row>
    <row r="46" spans="1:6" ht="15" thickBot="1" x14ac:dyDescent="0.25">
      <c r="A46" s="54"/>
      <c r="B46" s="162"/>
      <c r="C46" s="59" t="s">
        <v>6</v>
      </c>
      <c r="D46" s="77">
        <v>0.25</v>
      </c>
      <c r="E46" s="117"/>
      <c r="F46" s="172"/>
    </row>
    <row r="47" spans="1:6" ht="15" thickBot="1" x14ac:dyDescent="0.25">
      <c r="A47" s="54"/>
      <c r="B47" s="162"/>
      <c r="C47" s="59" t="s">
        <v>5</v>
      </c>
      <c r="D47" s="77">
        <v>0.1</v>
      </c>
      <c r="E47" s="117"/>
      <c r="F47" s="172"/>
    </row>
    <row r="48" spans="1:6" ht="15" thickBot="1" x14ac:dyDescent="0.25">
      <c r="A48" s="55"/>
      <c r="B48" s="153"/>
      <c r="C48" s="7"/>
      <c r="D48" s="78"/>
      <c r="E48" s="118"/>
      <c r="F48" s="173"/>
    </row>
    <row r="49" spans="1:6" ht="15" thickBot="1" x14ac:dyDescent="0.25">
      <c r="A49" s="56" t="s">
        <v>76</v>
      </c>
      <c r="B49" s="152" t="s">
        <v>30</v>
      </c>
      <c r="C49" s="19" t="s">
        <v>104</v>
      </c>
      <c r="D49" s="12">
        <v>0.1</v>
      </c>
      <c r="E49" s="175"/>
      <c r="F49" s="175"/>
    </row>
    <row r="50" spans="1:6" ht="15" thickBot="1" x14ac:dyDescent="0.25">
      <c r="A50" s="51"/>
      <c r="B50" s="162"/>
      <c r="C50" s="61" t="s">
        <v>4</v>
      </c>
      <c r="D50" s="18">
        <v>0.1</v>
      </c>
      <c r="E50" s="176"/>
      <c r="F50" s="176"/>
    </row>
    <row r="51" spans="1:6" ht="15" thickBot="1" x14ac:dyDescent="0.25">
      <c r="A51" s="51"/>
      <c r="B51" s="162"/>
      <c r="C51" s="64" t="s">
        <v>3</v>
      </c>
      <c r="D51" s="13">
        <v>0.64</v>
      </c>
      <c r="E51" s="176"/>
      <c r="F51" s="176"/>
    </row>
    <row r="52" spans="1:6" ht="75" customHeight="1" thickBot="1" x14ac:dyDescent="0.25">
      <c r="A52" s="52"/>
      <c r="B52" s="153"/>
      <c r="C52" s="38" t="s">
        <v>2</v>
      </c>
      <c r="D52" s="39">
        <v>0.16</v>
      </c>
      <c r="E52" s="177"/>
      <c r="F52" s="177"/>
    </row>
    <row r="53" spans="1:6" ht="15" thickBot="1" x14ac:dyDescent="0.25">
      <c r="A53" s="40" t="s">
        <v>77</v>
      </c>
      <c r="B53" s="152" t="s">
        <v>33</v>
      </c>
      <c r="C53" s="19" t="s">
        <v>104</v>
      </c>
      <c r="D53" s="44">
        <v>0.7</v>
      </c>
      <c r="E53" s="44">
        <v>0.65</v>
      </c>
      <c r="F53" s="44">
        <v>-0.05</v>
      </c>
    </row>
    <row r="54" spans="1:6" ht="74.25" customHeight="1" thickBot="1" x14ac:dyDescent="0.25">
      <c r="A54" s="57"/>
      <c r="B54" s="153"/>
      <c r="C54" s="58" t="s">
        <v>35</v>
      </c>
      <c r="D54" s="39">
        <v>0.3</v>
      </c>
      <c r="E54" s="39">
        <v>0.35</v>
      </c>
      <c r="F54" s="39">
        <v>0.05</v>
      </c>
    </row>
    <row r="55" spans="1:6" ht="15" thickBot="1" x14ac:dyDescent="0.25">
      <c r="A55" s="41" t="s">
        <v>78</v>
      </c>
      <c r="B55" s="160" t="s">
        <v>37</v>
      </c>
      <c r="C55" s="66" t="s">
        <v>38</v>
      </c>
      <c r="D55" s="10">
        <v>0.15</v>
      </c>
      <c r="E55" s="178"/>
      <c r="F55" s="178"/>
    </row>
    <row r="56" spans="1:6" ht="15" thickBot="1" x14ac:dyDescent="0.25">
      <c r="A56" s="164"/>
      <c r="B56" s="161"/>
      <c r="C56" s="61" t="s">
        <v>40</v>
      </c>
      <c r="D56" s="18">
        <v>0.6</v>
      </c>
      <c r="E56" s="179"/>
      <c r="F56" s="179"/>
    </row>
    <row r="57" spans="1:6" x14ac:dyDescent="0.2">
      <c r="A57" s="164"/>
      <c r="B57" s="161"/>
      <c r="C57" s="63" t="s">
        <v>41</v>
      </c>
      <c r="D57" s="42">
        <v>0.25</v>
      </c>
      <c r="E57" s="179"/>
      <c r="F57" s="179"/>
    </row>
    <row r="58" spans="1:6" x14ac:dyDescent="0.2">
      <c r="A58" s="164"/>
      <c r="B58" s="161"/>
      <c r="C58" s="63"/>
      <c r="D58" s="42"/>
      <c r="E58" s="179"/>
      <c r="F58" s="179"/>
    </row>
    <row r="59" spans="1:6" ht="48.75" customHeight="1" thickBot="1" x14ac:dyDescent="0.25">
      <c r="A59" s="165"/>
      <c r="B59" s="163"/>
      <c r="C59" s="79"/>
      <c r="D59" s="80"/>
      <c r="E59" s="180"/>
      <c r="F59" s="180"/>
    </row>
    <row r="60" spans="1:6" ht="15" thickBot="1" x14ac:dyDescent="0.25">
      <c r="E60" s="119"/>
      <c r="F60" s="119"/>
    </row>
    <row r="61" spans="1:6" x14ac:dyDescent="0.2">
      <c r="A61" s="154" t="s">
        <v>107</v>
      </c>
      <c r="B61" s="155"/>
      <c r="C61" s="155"/>
      <c r="D61" s="155"/>
      <c r="E61" s="174"/>
      <c r="F61" s="174"/>
    </row>
    <row r="62" spans="1:6" ht="15" thickBot="1" x14ac:dyDescent="0.25">
      <c r="A62" s="156"/>
      <c r="B62" s="157"/>
      <c r="C62" s="157"/>
      <c r="D62" s="157"/>
      <c r="E62" s="174"/>
      <c r="F62" s="174"/>
    </row>
    <row r="63" spans="1:6" x14ac:dyDescent="0.2">
      <c r="E63" s="174"/>
      <c r="F63" s="174"/>
    </row>
    <row r="64" spans="1:6" x14ac:dyDescent="0.2">
      <c r="E64" s="174"/>
      <c r="F64" s="174"/>
    </row>
    <row r="65" spans="5:6" x14ac:dyDescent="0.2">
      <c r="E65" s="174"/>
      <c r="F65" s="174"/>
    </row>
    <row r="66" spans="5:6" x14ac:dyDescent="0.2">
      <c r="E66" s="174"/>
      <c r="F66" s="174"/>
    </row>
    <row r="67" spans="5:6" x14ac:dyDescent="0.2">
      <c r="E67" s="174"/>
      <c r="F67" s="174"/>
    </row>
  </sheetData>
  <mergeCells count="29">
    <mergeCell ref="E61:F67"/>
    <mergeCell ref="E49:E52"/>
    <mergeCell ref="F49:F52"/>
    <mergeCell ref="E55:E59"/>
    <mergeCell ref="F55:F59"/>
    <mergeCell ref="E36:E37"/>
    <mergeCell ref="F36:F37"/>
    <mergeCell ref="E40:E43"/>
    <mergeCell ref="F40:F43"/>
    <mergeCell ref="F44:F48"/>
    <mergeCell ref="B3:B6"/>
    <mergeCell ref="B7:B11"/>
    <mergeCell ref="A31:A34"/>
    <mergeCell ref="B36:B37"/>
    <mergeCell ref="B12:B17"/>
    <mergeCell ref="B18:B23"/>
    <mergeCell ref="B24:B27"/>
    <mergeCell ref="C36:C37"/>
    <mergeCell ref="B38:B39"/>
    <mergeCell ref="A61:D62"/>
    <mergeCell ref="D36:D37"/>
    <mergeCell ref="B28:B29"/>
    <mergeCell ref="B30:B34"/>
    <mergeCell ref="B40:B43"/>
    <mergeCell ref="B44:B48"/>
    <mergeCell ref="B49:B52"/>
    <mergeCell ref="B53:B54"/>
    <mergeCell ref="B55:B59"/>
    <mergeCell ref="A56:A59"/>
  </mergeCells>
  <pageMargins left="0.7" right="0.7" top="0.75" bottom="0.75" header="0.3" footer="0.3"/>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32"/>
  <sheetViews>
    <sheetView rightToLeft="1" workbookViewId="0">
      <selection activeCell="G8" sqref="B8:G14"/>
    </sheetView>
  </sheetViews>
  <sheetFormatPr defaultColWidth="9" defaultRowHeight="14.25" x14ac:dyDescent="0.2"/>
  <cols>
    <col min="1" max="1" width="44.5" style="86" bestFit="1" customWidth="1"/>
    <col min="2" max="2" width="10.375" style="86" bestFit="1" customWidth="1"/>
    <col min="3" max="3" width="8" style="86" bestFit="1" customWidth="1"/>
    <col min="4" max="4" width="8" style="86" customWidth="1"/>
    <col min="5" max="5" width="9" style="86" customWidth="1"/>
    <col min="6" max="6" width="12" style="86" bestFit="1" customWidth="1"/>
    <col min="7" max="7" width="8.75" style="86" bestFit="1" customWidth="1"/>
    <col min="8" max="8" width="57.25" style="86" bestFit="1" customWidth="1"/>
  </cols>
  <sheetData>
    <row r="1" spans="1:256" ht="15" thickBot="1" x14ac:dyDescent="0.25">
      <c r="A1" s="21"/>
      <c r="B1" s="21"/>
      <c r="C1" s="21"/>
      <c r="D1" s="21"/>
      <c r="E1" s="21"/>
      <c r="F1" s="21"/>
      <c r="G1" s="21"/>
      <c r="H1" s="21"/>
    </row>
    <row r="2" spans="1:256" ht="15" thickBot="1" x14ac:dyDescent="0.25">
      <c r="A2" s="21"/>
      <c r="B2" s="21"/>
      <c r="C2" s="21"/>
      <c r="D2" s="21"/>
      <c r="E2" s="21"/>
      <c r="F2" s="21"/>
      <c r="G2" s="21"/>
      <c r="H2" s="21"/>
    </row>
    <row r="3" spans="1:256" ht="15" thickBot="1" x14ac:dyDescent="0.25">
      <c r="A3" s="21"/>
      <c r="B3" s="21"/>
      <c r="C3" s="21"/>
      <c r="D3" s="21"/>
      <c r="E3" s="21"/>
      <c r="F3" s="21"/>
      <c r="G3" s="21"/>
      <c r="H3" s="21"/>
    </row>
    <row r="4" spans="1:256" ht="15" thickBot="1" x14ac:dyDescent="0.25">
      <c r="A4" s="21"/>
      <c r="B4" s="21"/>
      <c r="C4" s="21"/>
      <c r="D4" s="21"/>
      <c r="E4" s="21"/>
      <c r="F4" s="21"/>
      <c r="G4" s="21"/>
      <c r="H4" s="21"/>
    </row>
    <row r="5" spans="1:256" ht="15.75" thickBot="1" x14ac:dyDescent="0.3">
      <c r="A5" s="75" t="s">
        <v>84</v>
      </c>
      <c r="B5" s="21"/>
      <c r="C5" s="21"/>
      <c r="D5" s="21"/>
      <c r="E5" s="21"/>
      <c r="F5" s="21"/>
      <c r="G5" s="21"/>
      <c r="H5" s="21"/>
    </row>
    <row r="6" spans="1:256" ht="15" thickBot="1" x14ac:dyDescent="0.25">
      <c r="A6" s="21" t="s">
        <v>85</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c r="IT6" s="21"/>
      <c r="IU6" s="21"/>
      <c r="IV6" s="21"/>
    </row>
    <row r="7" spans="1:256" s="86" customFormat="1" ht="75.75" thickBot="1" x14ac:dyDescent="0.25">
      <c r="A7" s="23" t="s">
        <v>16</v>
      </c>
      <c r="B7" s="25" t="s">
        <v>125</v>
      </c>
      <c r="C7" s="25" t="s">
        <v>95</v>
      </c>
      <c r="D7" s="25" t="s">
        <v>120</v>
      </c>
      <c r="E7" s="23" t="s">
        <v>17</v>
      </c>
      <c r="F7" s="24" t="s">
        <v>130</v>
      </c>
      <c r="G7" s="24" t="s">
        <v>122</v>
      </c>
      <c r="H7" s="23" t="s">
        <v>19</v>
      </c>
      <c r="I7" s="97" t="s">
        <v>124</v>
      </c>
    </row>
    <row r="8" spans="1:256" s="86" customFormat="1" ht="15" thickBot="1" x14ac:dyDescent="0.25">
      <c r="A8" s="26" t="s">
        <v>131</v>
      </c>
      <c r="B8" s="27">
        <v>0.1749</v>
      </c>
      <c r="C8" s="127">
        <v>0.15</v>
      </c>
      <c r="D8" s="139">
        <v>0.17</v>
      </c>
      <c r="E8" s="127">
        <v>0.06</v>
      </c>
      <c r="F8" s="140" t="s">
        <v>98</v>
      </c>
      <c r="G8" s="139" t="s">
        <v>27</v>
      </c>
      <c r="H8" s="30" t="s">
        <v>101</v>
      </c>
      <c r="I8" s="137">
        <v>0.02</v>
      </c>
    </row>
    <row r="9" spans="1:256" s="86" customFormat="1" ht="15" thickBot="1" x14ac:dyDescent="0.25">
      <c r="A9" s="26" t="s">
        <v>21</v>
      </c>
      <c r="B9" s="27">
        <v>0.33450000000000002</v>
      </c>
      <c r="C9" s="127">
        <v>0.33</v>
      </c>
      <c r="D9" s="141">
        <v>0.33</v>
      </c>
      <c r="E9" s="127">
        <v>0.05</v>
      </c>
      <c r="F9" s="140" t="s">
        <v>83</v>
      </c>
      <c r="G9" s="141" t="s">
        <v>83</v>
      </c>
      <c r="H9" s="30" t="s">
        <v>22</v>
      </c>
      <c r="I9" s="138"/>
    </row>
    <row r="10" spans="1:256" s="86" customFormat="1" ht="15" thickBot="1" x14ac:dyDescent="0.25">
      <c r="A10" s="26" t="s">
        <v>118</v>
      </c>
      <c r="B10" s="27">
        <v>0.34370000000000001</v>
      </c>
      <c r="C10" s="127">
        <v>0.4</v>
      </c>
      <c r="D10" s="141">
        <v>0.4</v>
      </c>
      <c r="E10" s="127">
        <v>0.06</v>
      </c>
      <c r="F10" s="140" t="s">
        <v>99</v>
      </c>
      <c r="G10" s="141" t="s">
        <v>99</v>
      </c>
      <c r="H10" s="31" t="s">
        <v>24</v>
      </c>
      <c r="I10" s="138"/>
    </row>
    <row r="11" spans="1:256" s="86" customFormat="1" ht="15" thickBot="1" x14ac:dyDescent="0.25">
      <c r="A11" s="26" t="s">
        <v>109</v>
      </c>
      <c r="B11" s="27">
        <v>0.14899999999999999</v>
      </c>
      <c r="C11" s="127">
        <v>0.1</v>
      </c>
      <c r="D11" s="139">
        <v>0.08</v>
      </c>
      <c r="E11" s="127"/>
      <c r="F11" s="140"/>
      <c r="G11" s="141"/>
      <c r="H11" s="32"/>
      <c r="I11" s="137">
        <v>-0.02</v>
      </c>
    </row>
    <row r="12" spans="1:256" s="86" customFormat="1" ht="15" thickBot="1" x14ac:dyDescent="0.25">
      <c r="A12" s="33" t="s">
        <v>110</v>
      </c>
      <c r="B12" s="27">
        <v>-1E-4</v>
      </c>
      <c r="C12" s="127">
        <v>0.02</v>
      </c>
      <c r="D12" s="141">
        <v>0.02</v>
      </c>
      <c r="E12" s="127">
        <v>0.05</v>
      </c>
      <c r="F12" s="140" t="s">
        <v>56</v>
      </c>
      <c r="G12" s="141" t="s">
        <v>56</v>
      </c>
      <c r="H12" s="32"/>
      <c r="I12" s="138"/>
    </row>
    <row r="13" spans="1:256" s="86" customFormat="1" ht="15" thickBot="1" x14ac:dyDescent="0.25">
      <c r="A13" s="26" t="s">
        <v>26</v>
      </c>
      <c r="B13" s="27">
        <f>SUM(B8:B12)</f>
        <v>1.002</v>
      </c>
      <c r="C13" s="27">
        <f>SUM(C8:C12)</f>
        <v>1</v>
      </c>
      <c r="D13" s="141">
        <f>SUM(D8:D12)</f>
        <v>1</v>
      </c>
      <c r="E13" s="127"/>
      <c r="F13" s="140"/>
      <c r="G13" s="141"/>
      <c r="H13" s="32"/>
      <c r="I13" s="138"/>
    </row>
    <row r="14" spans="1:256" s="86" customFormat="1" ht="15" thickBot="1" x14ac:dyDescent="0.25">
      <c r="A14" s="34" t="s">
        <v>111</v>
      </c>
      <c r="B14" s="27">
        <v>0.15409999999999999</v>
      </c>
      <c r="C14" s="127">
        <v>0.13</v>
      </c>
      <c r="D14" s="139">
        <v>0.16</v>
      </c>
      <c r="E14" s="127">
        <v>0.06</v>
      </c>
      <c r="F14" s="140" t="s">
        <v>135</v>
      </c>
      <c r="G14" s="139" t="s">
        <v>129</v>
      </c>
      <c r="H14" s="32"/>
      <c r="I14" s="137">
        <v>0.03</v>
      </c>
    </row>
    <row r="15" spans="1:256" s="86" customFormat="1" ht="15" thickBot="1" x14ac:dyDescent="0.25">
      <c r="A15" s="36" t="s">
        <v>28</v>
      </c>
      <c r="B15" s="37"/>
      <c r="C15" s="37"/>
      <c r="D15" s="37"/>
      <c r="E15" s="35"/>
      <c r="F15" s="35"/>
      <c r="G15" s="35"/>
      <c r="H15" s="35"/>
    </row>
    <row r="16" spans="1:256" s="86" customFormat="1" ht="15" thickBot="1" x14ac:dyDescent="0.25">
      <c r="A16" s="36" t="s">
        <v>117</v>
      </c>
      <c r="B16" s="37"/>
      <c r="C16" s="37"/>
      <c r="D16" s="37"/>
      <c r="E16" s="35"/>
      <c r="F16" s="35"/>
      <c r="G16" s="35"/>
      <c r="H16" s="35"/>
    </row>
    <row r="17" spans="1:9" ht="15" thickBot="1" x14ac:dyDescent="0.25">
      <c r="A17" s="36" t="s">
        <v>115</v>
      </c>
      <c r="B17" s="37"/>
      <c r="C17" s="37"/>
      <c r="D17" s="37"/>
      <c r="E17" s="35"/>
      <c r="F17" s="35"/>
      <c r="G17" s="35"/>
      <c r="H17" s="35"/>
    </row>
    <row r="18" spans="1:9" ht="15" thickBot="1" x14ac:dyDescent="0.25">
      <c r="A18" s="36" t="s">
        <v>108</v>
      </c>
      <c r="B18" s="37"/>
      <c r="C18" s="37"/>
      <c r="D18" s="37"/>
      <c r="E18" s="35"/>
      <c r="F18" s="35"/>
      <c r="G18" s="35"/>
      <c r="H18" s="35"/>
    </row>
    <row r="19" spans="1:9" ht="15" thickBot="1" x14ac:dyDescent="0.25">
      <c r="A19" s="36" t="s">
        <v>116</v>
      </c>
      <c r="B19" s="21"/>
      <c r="C19" s="21"/>
      <c r="D19" s="21"/>
      <c r="E19" s="21"/>
      <c r="F19" s="21"/>
      <c r="G19" s="21"/>
      <c r="H19" s="21"/>
    </row>
    <row r="20" spans="1:9" s="86" customFormat="1" x14ac:dyDescent="0.2">
      <c r="A20" s="144" t="s">
        <v>107</v>
      </c>
      <c r="B20" s="145"/>
      <c r="C20" s="145"/>
      <c r="D20" s="145"/>
      <c r="E20" s="145"/>
      <c r="F20" s="145"/>
      <c r="G20" s="145"/>
      <c r="H20" s="146"/>
    </row>
    <row r="21" spans="1:9" s="86" customFormat="1" ht="15" customHeight="1" thickBot="1" x14ac:dyDescent="0.25">
      <c r="A21" s="147"/>
      <c r="B21" s="148"/>
      <c r="C21" s="148"/>
      <c r="D21" s="148"/>
      <c r="E21" s="148"/>
      <c r="F21" s="148"/>
      <c r="G21" s="148"/>
      <c r="H21" s="149"/>
    </row>
    <row r="22" spans="1:9" ht="15" thickBot="1" x14ac:dyDescent="0.25">
      <c r="A22" s="36" t="s">
        <v>86</v>
      </c>
      <c r="B22" s="21"/>
      <c r="C22" s="21"/>
      <c r="D22" s="21"/>
      <c r="E22" s="21"/>
      <c r="F22" s="21"/>
      <c r="G22" s="21"/>
      <c r="H22" s="21"/>
    </row>
    <row r="23" spans="1:9" ht="15" thickBot="1" x14ac:dyDescent="0.25">
      <c r="A23" s="21"/>
      <c r="B23" s="21"/>
      <c r="C23" s="21"/>
      <c r="D23" s="21"/>
      <c r="E23" s="21"/>
      <c r="F23" s="21"/>
      <c r="G23" s="21"/>
      <c r="H23" s="21"/>
    </row>
    <row r="30" spans="1:9" x14ac:dyDescent="0.2">
      <c r="A30"/>
      <c r="B30"/>
      <c r="C30"/>
      <c r="F30"/>
      <c r="H30"/>
      <c r="I30" s="86"/>
    </row>
    <row r="31" spans="1:9" x14ac:dyDescent="0.2">
      <c r="A31"/>
      <c r="B31"/>
      <c r="C31"/>
      <c r="H31"/>
      <c r="I31" s="86"/>
    </row>
    <row r="32" spans="1:9" x14ac:dyDescent="0.2">
      <c r="A32"/>
      <c r="B32"/>
      <c r="C32"/>
      <c r="H32"/>
      <c r="I32" s="86"/>
    </row>
  </sheetData>
  <mergeCells count="1">
    <mergeCell ref="A20:H21"/>
  </mergeCells>
  <pageMargins left="0.7" right="0.7" top="0.75" bottom="0.75" header="0.3" footer="0.3"/>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rightToLeft="1" workbookViewId="0">
      <selection activeCell="B14" sqref="B14"/>
    </sheetView>
  </sheetViews>
  <sheetFormatPr defaultColWidth="9" defaultRowHeight="14.25" x14ac:dyDescent="0.2"/>
  <cols>
    <col min="1" max="1" width="38.125" customWidth="1"/>
    <col min="2" max="2" width="43.25" customWidth="1"/>
    <col min="3" max="3" width="41.375" customWidth="1"/>
    <col min="4" max="4" width="21" customWidth="1"/>
    <col min="5" max="5" width="57" bestFit="1" customWidth="1"/>
  </cols>
  <sheetData>
    <row r="1" spans="1:5" ht="15" thickBot="1" x14ac:dyDescent="0.25">
      <c r="A1" s="21"/>
      <c r="B1" s="21"/>
      <c r="C1" s="21"/>
      <c r="D1" s="21"/>
      <c r="E1" s="21"/>
    </row>
    <row r="2" spans="1:5" s="86" customFormat="1" ht="15" thickBot="1" x14ac:dyDescent="0.25">
      <c r="A2" s="21"/>
      <c r="B2" s="21"/>
      <c r="C2" s="21"/>
      <c r="D2" s="21"/>
      <c r="E2" s="21"/>
    </row>
    <row r="3" spans="1:5" s="86" customFormat="1" ht="15" thickBot="1" x14ac:dyDescent="0.25">
      <c r="A3" s="21"/>
      <c r="B3" s="21"/>
      <c r="C3" s="21"/>
      <c r="D3" s="21"/>
      <c r="E3" s="21"/>
    </row>
    <row r="4" spans="1:5" ht="15" thickBot="1" x14ac:dyDescent="0.25">
      <c r="A4" s="21"/>
      <c r="B4" s="21"/>
      <c r="C4" s="21"/>
      <c r="D4" s="21"/>
      <c r="E4" s="21"/>
    </row>
    <row r="5" spans="1:5" ht="16.5" thickBot="1" x14ac:dyDescent="0.3">
      <c r="A5" s="22" t="s">
        <v>87</v>
      </c>
      <c r="B5" s="21"/>
      <c r="C5" s="21"/>
      <c r="D5" s="21"/>
      <c r="E5" s="21"/>
    </row>
    <row r="6" spans="1:5" ht="15" thickBot="1" x14ac:dyDescent="0.25">
      <c r="A6" s="87" t="s">
        <v>88</v>
      </c>
      <c r="B6" s="21"/>
      <c r="C6" s="21"/>
      <c r="D6" s="21"/>
      <c r="E6" s="21"/>
    </row>
    <row r="7" spans="1:5" ht="24.75" customHeight="1" thickBot="1" x14ac:dyDescent="0.3">
      <c r="A7" s="88" t="s">
        <v>89</v>
      </c>
      <c r="B7" s="2" t="s">
        <v>136</v>
      </c>
      <c r="C7" s="2" t="s">
        <v>137</v>
      </c>
      <c r="D7" s="2"/>
    </row>
    <row r="8" spans="1:5" ht="15" thickBot="1" x14ac:dyDescent="0.25">
      <c r="A8" s="56" t="s">
        <v>90</v>
      </c>
      <c r="B8" s="152" t="s">
        <v>53</v>
      </c>
      <c r="C8" s="15" t="s">
        <v>104</v>
      </c>
      <c r="D8" s="12">
        <v>0.3</v>
      </c>
    </row>
    <row r="9" spans="1:5" ht="15" thickBot="1" x14ac:dyDescent="0.25">
      <c r="A9" s="51"/>
      <c r="B9" s="162"/>
      <c r="C9" s="60" t="s">
        <v>4</v>
      </c>
      <c r="D9" s="18">
        <v>0.15</v>
      </c>
    </row>
    <row r="10" spans="1:5" ht="15" thickBot="1" x14ac:dyDescent="0.25">
      <c r="A10" s="51"/>
      <c r="B10" s="162"/>
      <c r="C10" s="16" t="s">
        <v>7</v>
      </c>
      <c r="D10" s="13">
        <v>0.2</v>
      </c>
    </row>
    <row r="11" spans="1:5" ht="15" thickBot="1" x14ac:dyDescent="0.25">
      <c r="A11" s="51"/>
      <c r="B11" s="162"/>
      <c r="C11" s="60" t="s">
        <v>2</v>
      </c>
      <c r="D11" s="18">
        <v>0.1</v>
      </c>
    </row>
    <row r="12" spans="1:5" ht="15" thickBot="1" x14ac:dyDescent="0.25">
      <c r="A12" s="51"/>
      <c r="B12" s="162"/>
      <c r="C12" s="60" t="s">
        <v>8</v>
      </c>
      <c r="D12" s="18">
        <v>0.1</v>
      </c>
    </row>
    <row r="13" spans="1:5" ht="23.25" customHeight="1" thickBot="1" x14ac:dyDescent="0.25">
      <c r="A13" s="52"/>
      <c r="B13" s="153"/>
      <c r="C13" s="17" t="s">
        <v>9</v>
      </c>
      <c r="D13" s="14">
        <v>0.15</v>
      </c>
    </row>
    <row r="15" spans="1:5" ht="15" thickBot="1" x14ac:dyDescent="0.25"/>
    <row r="16" spans="1:5" ht="15" thickBot="1" x14ac:dyDescent="0.25">
      <c r="A16" s="84" t="s">
        <v>86</v>
      </c>
    </row>
    <row r="17" spans="1:6" ht="15" thickBot="1" x14ac:dyDescent="0.25"/>
    <row r="18" spans="1:6" ht="14.25" customHeight="1" x14ac:dyDescent="0.2">
      <c r="A18" s="144" t="s">
        <v>107</v>
      </c>
      <c r="B18" s="145"/>
      <c r="C18" s="145"/>
      <c r="D18" s="145"/>
      <c r="E18" s="91"/>
      <c r="F18" s="92"/>
    </row>
    <row r="19" spans="1:6" ht="15" thickBot="1" x14ac:dyDescent="0.25">
      <c r="A19" s="147"/>
      <c r="B19" s="148"/>
      <c r="C19" s="148"/>
      <c r="D19" s="148"/>
      <c r="E19" s="93"/>
      <c r="F19" s="94"/>
    </row>
  </sheetData>
  <mergeCells count="2">
    <mergeCell ref="B8:B13"/>
    <mergeCell ref="A18:D19"/>
  </mergeCells>
  <pageMargins left="0.7" right="0.7" top="0.75" bottom="0.75" header="0.3" footer="0.3"/>
  <pageSetup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rightToLeft="1" workbookViewId="0">
      <selection activeCell="B25" sqref="B25"/>
    </sheetView>
  </sheetViews>
  <sheetFormatPr defaultColWidth="9" defaultRowHeight="14.25" x14ac:dyDescent="0.2"/>
  <cols>
    <col min="1" max="1" width="45.25" customWidth="1"/>
    <col min="2" max="2" width="42.75" customWidth="1"/>
    <col min="3" max="3" width="30.625" customWidth="1"/>
    <col min="4" max="4" width="13.375" customWidth="1"/>
    <col min="5" max="5" width="57" bestFit="1" customWidth="1"/>
  </cols>
  <sheetData>
    <row r="1" spans="1:5" ht="15" thickBot="1" x14ac:dyDescent="0.25">
      <c r="A1" s="21"/>
      <c r="B1" s="21"/>
      <c r="C1" s="21"/>
      <c r="D1" s="21"/>
      <c r="E1" s="21"/>
    </row>
    <row r="2" spans="1:5" s="86" customFormat="1" ht="15" thickBot="1" x14ac:dyDescent="0.25">
      <c r="A2" s="21"/>
      <c r="B2" s="21"/>
      <c r="C2" s="21"/>
      <c r="D2" s="21"/>
      <c r="E2" s="21"/>
    </row>
    <row r="3" spans="1:5" s="86" customFormat="1" ht="15" thickBot="1" x14ac:dyDescent="0.25">
      <c r="A3" s="21"/>
      <c r="B3" s="21"/>
      <c r="C3" s="21"/>
      <c r="D3" s="21"/>
      <c r="E3" s="21"/>
    </row>
    <row r="4" spans="1:5" ht="15" thickBot="1" x14ac:dyDescent="0.25">
      <c r="A4" s="21"/>
      <c r="B4" s="21"/>
      <c r="C4" s="21"/>
      <c r="D4" s="21"/>
      <c r="E4" s="21"/>
    </row>
    <row r="5" spans="1:5" ht="16.5" thickBot="1" x14ac:dyDescent="0.3">
      <c r="A5" s="22" t="s">
        <v>91</v>
      </c>
      <c r="B5" s="21"/>
      <c r="C5" s="21"/>
      <c r="D5" s="21"/>
      <c r="E5" s="21"/>
    </row>
    <row r="6" spans="1:5" ht="15" thickBot="1" x14ac:dyDescent="0.25">
      <c r="A6" s="87" t="s">
        <v>92</v>
      </c>
      <c r="B6" s="21"/>
      <c r="C6" s="21"/>
      <c r="D6" s="21"/>
      <c r="E6" s="21"/>
    </row>
    <row r="7" spans="1:5" s="86" customFormat="1" ht="24.75" customHeight="1" thickBot="1" x14ac:dyDescent="0.3">
      <c r="A7" s="88" t="s">
        <v>89</v>
      </c>
      <c r="B7" s="2" t="s">
        <v>136</v>
      </c>
      <c r="C7" s="2" t="s">
        <v>137</v>
      </c>
      <c r="D7" s="2"/>
    </row>
    <row r="8" spans="1:5" ht="15" customHeight="1" thickBot="1" x14ac:dyDescent="0.25">
      <c r="A8" s="56" t="s">
        <v>93</v>
      </c>
      <c r="B8" s="152" t="s">
        <v>33</v>
      </c>
      <c r="C8" s="65" t="s">
        <v>104</v>
      </c>
      <c r="D8" s="44">
        <v>0.7</v>
      </c>
    </row>
    <row r="9" spans="1:5" ht="81" customHeight="1" thickBot="1" x14ac:dyDescent="0.25">
      <c r="A9" s="85"/>
      <c r="B9" s="153"/>
      <c r="C9" s="58" t="s">
        <v>35</v>
      </c>
      <c r="D9" s="39">
        <v>0.3</v>
      </c>
    </row>
    <row r="11" spans="1:5" ht="15" thickBot="1" x14ac:dyDescent="0.25"/>
    <row r="12" spans="1:5" ht="15" thickBot="1" x14ac:dyDescent="0.25">
      <c r="A12" s="84" t="s">
        <v>86</v>
      </c>
      <c r="B12" s="21"/>
      <c r="C12" s="21"/>
      <c r="D12" s="21"/>
    </row>
    <row r="13" spans="1:5" ht="15" thickBot="1" x14ac:dyDescent="0.25"/>
    <row r="14" spans="1:5" x14ac:dyDescent="0.2">
      <c r="A14" s="144" t="s">
        <v>107</v>
      </c>
      <c r="B14" s="145"/>
      <c r="C14" s="145"/>
      <c r="D14" s="145"/>
    </row>
    <row r="15" spans="1:5" ht="15" thickBot="1" x14ac:dyDescent="0.25">
      <c r="A15" s="147"/>
      <c r="B15" s="148"/>
      <c r="C15" s="148"/>
      <c r="D15" s="148"/>
    </row>
  </sheetData>
  <mergeCells count="2">
    <mergeCell ref="B8:B9"/>
    <mergeCell ref="A14:D15"/>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גליונות עבודה</vt:lpstr>
      </vt:variant>
      <vt:variant>
        <vt:i4>12</vt:i4>
      </vt:variant>
    </vt:vector>
  </HeadingPairs>
  <TitlesOfParts>
    <vt:vector size="12" baseType="lpstr">
      <vt:lpstr>אנליסט גמל לבני 50 ומטה</vt:lpstr>
      <vt:lpstr>אנליסט גמל לבני 50-60</vt:lpstr>
      <vt:lpstr>אנליסט גמל לבני 60 ומעלה </vt:lpstr>
      <vt:lpstr>אנליסט השתלמות כללי </vt:lpstr>
      <vt:lpstr>אנליסט פיצויים כללי</vt:lpstr>
      <vt:lpstr>אנליסט פיצויים עד 10% מניות</vt:lpstr>
      <vt:lpstr>אנליסט גמל להשקעה כללי</vt:lpstr>
      <vt:lpstr>אנליסט גמל להשקעה פאסיבי כללי</vt:lpstr>
      <vt:lpstr>מתמחות 2018 </vt:lpstr>
      <vt:lpstr>אנליסט חיסכון לילד-סיכון מועט</vt:lpstr>
      <vt:lpstr>אנליסט חיסכון לילד-סיכון בינוני</vt:lpstr>
      <vt:lpstr>אנליסט חיסכון לילד-סיכון גבוה</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2016-01-28T13:25:47Z</dcterms:created>
  <dcterms:modified xsi:type="dcterms:W3CDTF">2019-12-01T08:18:30Z</dcterms:modified>
  <cp:category/>
  <cp:contentStatus/>
</cp:coreProperties>
</file>